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AD1CD781-5251-4538-9C26-5161AB01C2A6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MB" sheetId="1" r:id="rId1"/>
    <sheet name="JW" sheetId="5" r:id="rId2"/>
    <sheet name="SK" sheetId="8" r:id="rId3"/>
    <sheet name="SUMA" sheetId="4" r:id="rId4"/>
    <sheet name="OCENA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7" l="1"/>
  <c r="C64" i="7"/>
  <c r="C73" i="7"/>
  <c r="C71" i="7"/>
  <c r="C70" i="7"/>
  <c r="C69" i="7"/>
  <c r="C57" i="7"/>
  <c r="C55" i="7"/>
  <c r="C54" i="7"/>
  <c r="C53" i="7"/>
  <c r="C52" i="7"/>
  <c r="C51" i="7"/>
  <c r="C49" i="7"/>
  <c r="C48" i="7"/>
  <c r="C47" i="7"/>
  <c r="C46" i="7"/>
  <c r="C45" i="7"/>
  <c r="C43" i="7"/>
  <c r="C42" i="7"/>
  <c r="C41" i="7"/>
  <c r="C40" i="7"/>
  <c r="C39" i="7"/>
  <c r="C31" i="7"/>
  <c r="C30" i="7"/>
  <c r="C29" i="7"/>
  <c r="C28" i="7"/>
  <c r="C27" i="7"/>
  <c r="C37" i="7"/>
  <c r="C36" i="7"/>
  <c r="C35" i="7"/>
  <c r="C34" i="7"/>
  <c r="C33" i="7"/>
  <c r="C25" i="7"/>
  <c r="C24" i="7"/>
  <c r="C23" i="7"/>
  <c r="C22" i="7"/>
  <c r="C21" i="7"/>
  <c r="C13" i="7"/>
  <c r="C12" i="7"/>
  <c r="C11" i="7"/>
  <c r="C10" i="7"/>
  <c r="C9" i="7"/>
  <c r="C19" i="7"/>
  <c r="C18" i="7"/>
  <c r="C17" i="7"/>
  <c r="C16" i="7"/>
  <c r="C15" i="7"/>
  <c r="C7" i="7"/>
  <c r="C6" i="7"/>
  <c r="C5" i="7"/>
  <c r="C3" i="7"/>
  <c r="C4" i="7"/>
  <c r="L73" i="8"/>
  <c r="L72" i="8"/>
  <c r="L71" i="8"/>
  <c r="L70" i="8"/>
  <c r="L69" i="8"/>
  <c r="L67" i="8"/>
  <c r="L66" i="8"/>
  <c r="L65" i="8"/>
  <c r="L64" i="8"/>
  <c r="L63" i="8"/>
  <c r="L61" i="8"/>
  <c r="L60" i="8"/>
  <c r="L59" i="8"/>
  <c r="L58" i="8"/>
  <c r="L57" i="8"/>
  <c r="L55" i="8"/>
  <c r="L54" i="8"/>
  <c r="L53" i="8"/>
  <c r="L52" i="8"/>
  <c r="L51" i="8"/>
  <c r="L49" i="8"/>
  <c r="L48" i="8"/>
  <c r="L47" i="8"/>
  <c r="L46" i="8"/>
  <c r="L45" i="8"/>
  <c r="L43" i="8"/>
  <c r="L42" i="8"/>
  <c r="L41" i="8"/>
  <c r="L40" i="8"/>
  <c r="L39" i="8"/>
  <c r="L37" i="8"/>
  <c r="L36" i="8"/>
  <c r="L35" i="8"/>
  <c r="L34" i="8"/>
  <c r="L33" i="8"/>
  <c r="L31" i="8"/>
  <c r="L30" i="8"/>
  <c r="L29" i="8"/>
  <c r="L28" i="8"/>
  <c r="L27" i="8"/>
  <c r="L25" i="8"/>
  <c r="L24" i="8"/>
  <c r="L23" i="8"/>
  <c r="L22" i="8"/>
  <c r="L21" i="8"/>
  <c r="L19" i="8"/>
  <c r="L18" i="8"/>
  <c r="L17" i="8"/>
  <c r="L16" i="8"/>
  <c r="L15" i="8"/>
  <c r="L13" i="8"/>
  <c r="L12" i="8"/>
  <c r="L11" i="8"/>
  <c r="L10" i="8"/>
  <c r="L9" i="8"/>
  <c r="L7" i="8"/>
  <c r="L6" i="8"/>
  <c r="L5" i="8"/>
  <c r="L4" i="8"/>
  <c r="L3" i="8"/>
  <c r="L3" i="1"/>
  <c r="C72" i="7"/>
  <c r="C66" i="7"/>
  <c r="C65" i="7"/>
  <c r="C63" i="7"/>
  <c r="C61" i="7"/>
  <c r="C60" i="7"/>
  <c r="C59" i="7"/>
  <c r="C58" i="7"/>
  <c r="L73" i="5"/>
  <c r="B73" i="4" s="1"/>
  <c r="L72" i="5"/>
  <c r="B72" i="4" s="1"/>
  <c r="L71" i="5"/>
  <c r="B71" i="4" s="1"/>
  <c r="L70" i="5"/>
  <c r="B70" i="4" s="1"/>
  <c r="L69" i="5"/>
  <c r="B69" i="4" s="1"/>
  <c r="L67" i="5"/>
  <c r="B67" i="4" s="1"/>
  <c r="L66" i="5"/>
  <c r="B66" i="4" s="1"/>
  <c r="L65" i="5"/>
  <c r="B65" i="4" s="1"/>
  <c r="L64" i="5"/>
  <c r="B64" i="4" s="1"/>
  <c r="L63" i="5"/>
  <c r="B63" i="4" s="1"/>
  <c r="L61" i="5"/>
  <c r="L60" i="5"/>
  <c r="B60" i="4" s="1"/>
  <c r="L59" i="5"/>
  <c r="B59" i="4" s="1"/>
  <c r="L58" i="5"/>
  <c r="B58" i="4" s="1"/>
  <c r="L57" i="5"/>
  <c r="B57" i="4" s="1"/>
  <c r="L55" i="5"/>
  <c r="B55" i="4" s="1"/>
  <c r="L54" i="5"/>
  <c r="B54" i="4" s="1"/>
  <c r="L53" i="5"/>
  <c r="B53" i="4" s="1"/>
  <c r="L52" i="5"/>
  <c r="B52" i="4" s="1"/>
  <c r="L51" i="5"/>
  <c r="B51" i="4" s="1"/>
  <c r="L49" i="5"/>
  <c r="B49" i="4" s="1"/>
  <c r="L48" i="5"/>
  <c r="B48" i="4" s="1"/>
  <c r="L47" i="5"/>
  <c r="B47" i="4" s="1"/>
  <c r="L46" i="5"/>
  <c r="B46" i="4" s="1"/>
  <c r="L45" i="5"/>
  <c r="B45" i="4" s="1"/>
  <c r="L43" i="5"/>
  <c r="L42" i="5"/>
  <c r="B42" i="4" s="1"/>
  <c r="L41" i="5"/>
  <c r="B41" i="4" s="1"/>
  <c r="L40" i="5"/>
  <c r="B40" i="4" s="1"/>
  <c r="L39" i="5"/>
  <c r="L37" i="5"/>
  <c r="B37" i="4" s="1"/>
  <c r="L36" i="5"/>
  <c r="B36" i="4" s="1"/>
  <c r="L35" i="5"/>
  <c r="B35" i="4" s="1"/>
  <c r="L34" i="5"/>
  <c r="B34" i="4" s="1"/>
  <c r="L33" i="5"/>
  <c r="B33" i="4" s="1"/>
  <c r="L31" i="5"/>
  <c r="B31" i="4" s="1"/>
  <c r="L30" i="5"/>
  <c r="B30" i="4" s="1"/>
  <c r="L29" i="5"/>
  <c r="B29" i="4" s="1"/>
  <c r="L28" i="5"/>
  <c r="B28" i="4" s="1"/>
  <c r="L27" i="5"/>
  <c r="B27" i="4" s="1"/>
  <c r="L25" i="5"/>
  <c r="B25" i="4" s="1"/>
  <c r="L24" i="5"/>
  <c r="B24" i="4" s="1"/>
  <c r="L23" i="5"/>
  <c r="B23" i="4" s="1"/>
  <c r="L22" i="5"/>
  <c r="B22" i="4" s="1"/>
  <c r="L21" i="5"/>
  <c r="B21" i="4" s="1"/>
  <c r="L19" i="5"/>
  <c r="B19" i="4" s="1"/>
  <c r="L18" i="5"/>
  <c r="B18" i="4" s="1"/>
  <c r="L17" i="5"/>
  <c r="B17" i="4" s="1"/>
  <c r="L16" i="5"/>
  <c r="B16" i="4" s="1"/>
  <c r="L15" i="5"/>
  <c r="B15" i="4" s="1"/>
  <c r="L13" i="5"/>
  <c r="B13" i="4" s="1"/>
  <c r="L12" i="5"/>
  <c r="B12" i="4" s="1"/>
  <c r="L11" i="5"/>
  <c r="B11" i="4" s="1"/>
  <c r="L10" i="5"/>
  <c r="B10" i="4" s="1"/>
  <c r="L9" i="5"/>
  <c r="B9" i="4" s="1"/>
  <c r="L7" i="5"/>
  <c r="B7" i="4" s="1"/>
  <c r="L6" i="5"/>
  <c r="B6" i="4" s="1"/>
  <c r="L5" i="5"/>
  <c r="L4" i="5"/>
  <c r="B4" i="4" s="1"/>
  <c r="L3" i="5"/>
  <c r="B3" i="4" s="1"/>
  <c r="L73" i="1"/>
  <c r="B73" i="7" s="1"/>
  <c r="D73" i="7" s="1"/>
  <c r="L4" i="1"/>
  <c r="B4" i="7" s="1"/>
  <c r="D4" i="7" s="1"/>
  <c r="L5" i="1"/>
  <c r="L6" i="1"/>
  <c r="B6" i="7" s="1"/>
  <c r="D6" i="7" s="1"/>
  <c r="L7" i="1"/>
  <c r="B7" i="7" s="1"/>
  <c r="D7" i="7" s="1"/>
  <c r="L9" i="1"/>
  <c r="B9" i="7" s="1"/>
  <c r="D9" i="7" s="1"/>
  <c r="L10" i="1"/>
  <c r="B10" i="7" s="1"/>
  <c r="D10" i="7" s="1"/>
  <c r="L11" i="1"/>
  <c r="B11" i="7" s="1"/>
  <c r="D11" i="7" s="1"/>
  <c r="L12" i="1"/>
  <c r="B12" i="7" s="1"/>
  <c r="D12" i="7" s="1"/>
  <c r="L13" i="1"/>
  <c r="B13" i="7" s="1"/>
  <c r="D13" i="7" s="1"/>
  <c r="L15" i="1"/>
  <c r="B15" i="7" s="1"/>
  <c r="D15" i="7" s="1"/>
  <c r="L16" i="1"/>
  <c r="B16" i="7" s="1"/>
  <c r="D16" i="7" s="1"/>
  <c r="L17" i="1"/>
  <c r="B17" i="7" s="1"/>
  <c r="D17" i="7" s="1"/>
  <c r="L18" i="1"/>
  <c r="B18" i="7" s="1"/>
  <c r="D18" i="7" s="1"/>
  <c r="L19" i="1"/>
  <c r="B19" i="7" s="1"/>
  <c r="D19" i="7" s="1"/>
  <c r="L21" i="1"/>
  <c r="B21" i="7" s="1"/>
  <c r="D21" i="7" s="1"/>
  <c r="L22" i="1"/>
  <c r="B22" i="7" s="1"/>
  <c r="D22" i="7" s="1"/>
  <c r="L23" i="1"/>
  <c r="B23" i="7" s="1"/>
  <c r="D23" i="7" s="1"/>
  <c r="L24" i="1"/>
  <c r="B24" i="7" s="1"/>
  <c r="D24" i="7" s="1"/>
  <c r="L25" i="1"/>
  <c r="B25" i="7" s="1"/>
  <c r="D25" i="7" s="1"/>
  <c r="L27" i="1"/>
  <c r="B27" i="7" s="1"/>
  <c r="D27" i="7" s="1"/>
  <c r="L28" i="1"/>
  <c r="B28" i="7" s="1"/>
  <c r="D28" i="7" s="1"/>
  <c r="L29" i="1"/>
  <c r="B29" i="7" s="1"/>
  <c r="D29" i="7" s="1"/>
  <c r="L30" i="1"/>
  <c r="B30" i="7" s="1"/>
  <c r="D30" i="7" s="1"/>
  <c r="L31" i="1"/>
  <c r="B31" i="7" s="1"/>
  <c r="D31" i="7" s="1"/>
  <c r="L33" i="1"/>
  <c r="B33" i="7" s="1"/>
  <c r="D33" i="7" s="1"/>
  <c r="L34" i="1"/>
  <c r="B34" i="7" s="1"/>
  <c r="D34" i="7" s="1"/>
  <c r="L35" i="1"/>
  <c r="B35" i="7" s="1"/>
  <c r="D35" i="7" s="1"/>
  <c r="L36" i="1"/>
  <c r="B36" i="7" s="1"/>
  <c r="D36" i="7" s="1"/>
  <c r="L37" i="1"/>
  <c r="B37" i="7" s="1"/>
  <c r="D37" i="7" s="1"/>
  <c r="L39" i="1"/>
  <c r="L40" i="1"/>
  <c r="B40" i="7" s="1"/>
  <c r="D40" i="7" s="1"/>
  <c r="L41" i="1"/>
  <c r="B41" i="7" s="1"/>
  <c r="D41" i="7" s="1"/>
  <c r="L42" i="1"/>
  <c r="B42" i="7" s="1"/>
  <c r="D42" i="7" s="1"/>
  <c r="L43" i="1"/>
  <c r="L45" i="1"/>
  <c r="B45" i="7" s="1"/>
  <c r="D45" i="7" s="1"/>
  <c r="L46" i="1"/>
  <c r="B46" i="7" s="1"/>
  <c r="D46" i="7" s="1"/>
  <c r="L47" i="1"/>
  <c r="B47" i="7" s="1"/>
  <c r="D47" i="7" s="1"/>
  <c r="L48" i="1"/>
  <c r="B48" i="7" s="1"/>
  <c r="D48" i="7" s="1"/>
  <c r="L49" i="1"/>
  <c r="B49" i="7" s="1"/>
  <c r="D49" i="7" s="1"/>
  <c r="L51" i="1"/>
  <c r="B51" i="7" s="1"/>
  <c r="D51" i="7" s="1"/>
  <c r="L52" i="1"/>
  <c r="B52" i="7" s="1"/>
  <c r="D52" i="7" s="1"/>
  <c r="L53" i="1"/>
  <c r="B53" i="7" s="1"/>
  <c r="D53" i="7" s="1"/>
  <c r="L54" i="1"/>
  <c r="B54" i="7" s="1"/>
  <c r="D54" i="7" s="1"/>
  <c r="L55" i="1"/>
  <c r="B55" i="7" s="1"/>
  <c r="D55" i="7" s="1"/>
  <c r="L57" i="1"/>
  <c r="B57" i="7" s="1"/>
  <c r="D57" i="7" s="1"/>
  <c r="L58" i="1"/>
  <c r="B58" i="7" s="1"/>
  <c r="D58" i="7" s="1"/>
  <c r="L59" i="1"/>
  <c r="B59" i="7" s="1"/>
  <c r="D59" i="7" s="1"/>
  <c r="L60" i="1"/>
  <c r="B60" i="7" s="1"/>
  <c r="D60" i="7" s="1"/>
  <c r="L61" i="1"/>
  <c r="L63" i="1"/>
  <c r="B63" i="7" s="1"/>
  <c r="D63" i="7" s="1"/>
  <c r="L64" i="1"/>
  <c r="B64" i="7" s="1"/>
  <c r="D64" i="7" s="1"/>
  <c r="L65" i="1"/>
  <c r="B65" i="7" s="1"/>
  <c r="D65" i="7" s="1"/>
  <c r="L66" i="1"/>
  <c r="B66" i="7" s="1"/>
  <c r="D66" i="7" s="1"/>
  <c r="L67" i="1"/>
  <c r="B67" i="7" s="1"/>
  <c r="D67" i="7" s="1"/>
  <c r="L69" i="1"/>
  <c r="B69" i="7" s="1"/>
  <c r="D69" i="7" s="1"/>
  <c r="L70" i="1"/>
  <c r="B70" i="7" s="1"/>
  <c r="D70" i="7" s="1"/>
  <c r="L71" i="1"/>
  <c r="B71" i="7" s="1"/>
  <c r="D71" i="7" s="1"/>
  <c r="L72" i="1"/>
  <c r="B72" i="7" s="1"/>
  <c r="D72" i="7" s="1"/>
  <c r="B5" i="4" l="1"/>
  <c r="B5" i="7" s="1"/>
  <c r="D5" i="7" s="1"/>
  <c r="B61" i="4"/>
  <c r="B61" i="7" s="1"/>
  <c r="D61" i="7" s="1"/>
  <c r="B39" i="4"/>
  <c r="B39" i="7" s="1"/>
  <c r="D39" i="7" s="1"/>
  <c r="B43" i="4"/>
  <c r="B43" i="7" s="1"/>
  <c r="D43" i="7" s="1"/>
  <c r="B3" i="7"/>
  <c r="D3" i="7" s="1"/>
</calcChain>
</file>

<file path=xl/sharedStrings.xml><?xml version="1.0" encoding="utf-8"?>
<sst xmlns="http://schemas.openxmlformats.org/spreadsheetml/2006/main" count="405" uniqueCount="34">
  <si>
    <t>Gatunek</t>
  </si>
  <si>
    <t>Nastrój</t>
  </si>
  <si>
    <t>Instrument</t>
  </si>
  <si>
    <t>Zastosowanie</t>
  </si>
  <si>
    <t>Spójność</t>
  </si>
  <si>
    <t>Melodyjność</t>
  </si>
  <si>
    <t>Oryginalność</t>
  </si>
  <si>
    <t>Autentyczność</t>
  </si>
  <si>
    <t>Klarowność</t>
  </si>
  <si>
    <t>Ocena ogólna</t>
  </si>
  <si>
    <t>SUMA</t>
  </si>
  <si>
    <t>[ACE-Step] Pathetic film music for orchestra, without choir, f-minor, 80 bpm, 100 seconds</t>
  </si>
  <si>
    <t>Skala 1-5</t>
  </si>
  <si>
    <t>Sample1</t>
  </si>
  <si>
    <t>Ocena ogólna: 1-10</t>
  </si>
  <si>
    <t>Sample2</t>
  </si>
  <si>
    <t>Sample3</t>
  </si>
  <si>
    <t>Sample4</t>
  </si>
  <si>
    <t>Sample5</t>
  </si>
  <si>
    <t>[ACE-Step] Energetic techno, synthesizer, e-minor, 140 bpm, 100 seconds</t>
  </si>
  <si>
    <t>[ACE-Step] Relaxing lofi with piano, e-major, 100 bpm, 100 seconds</t>
  </si>
  <si>
    <t>[DiffRhythm] Pathetic film music for orchestra, without choir, f-minor, 80 bpm, 100 seconds</t>
  </si>
  <si>
    <t>[DiffRhythm] Energetic techno, synthesizer, e-minor, 140 bpm, 100 seconds</t>
  </si>
  <si>
    <t>[DiffRhythm] Relaxing lofi with piano, e-major, 100 bpm, 100 seconds</t>
  </si>
  <si>
    <t>[Stable Audio] Pathetic film music for orchestra, without choir, f-minor, 80 bpm, 100 seconds</t>
  </si>
  <si>
    <t>[Stable Audio] Energetic techno, synthesizer, e-minor, 140 bpm, 100 seconds</t>
  </si>
  <si>
    <t>[Stable Audio] Relaxing lofi with piano, e-major, 100 bpm, 100 seconds</t>
  </si>
  <si>
    <t>[SunoAI] Pathetic film music for orchestra, without choir, f-minor, 80 bpm, 100 seconds</t>
  </si>
  <si>
    <t>[SunoAI] Energetic techno, synthesizer, e-minor, 140 bpm, 100 seconds</t>
  </si>
  <si>
    <t>[SunoAI] Relaxing lofi with piano, e-major, 100 bpm, 100 seconds</t>
  </si>
  <si>
    <t>Ocena Jakościowa</t>
  </si>
  <si>
    <t>Ocena Ilościowa</t>
  </si>
  <si>
    <t>Ocena jakościowa: 75%</t>
  </si>
  <si>
    <t>Ocena ilościowa: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</si>
</sst>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0" borderId="1" xfId="0" applyBorder="1"/>
    <xf numFmtId="0" fontId="1" fillId="3" borderId="2" xfId="0" applyFont="1" applyFill="1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0" fontId="0" fillId="3" borderId="2" xfId="0" applyFill="1" applyBorder="1"/>
    <xf numFmtId="0" fontId="1" fillId="0" borderId="3" xfId="0" applyFont="1" applyBorder="1"/>
    <xf numFmtId="0" fontId="1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workbookViewId="0">
      <pane ySplit="1" topLeftCell="A47" activePane="bottomLeft" state="frozen"/>
      <selection pane="bottomLeft" activeCell="L55" sqref="L55"/>
    </sheetView>
  </sheetViews>
  <sheetFormatPr defaultRowHeight="15"/>
  <cols>
    <col min="1" max="1" width="79.5703125" customWidth="1"/>
    <col min="2" max="2" width="8.42578125" customWidth="1"/>
    <col min="3" max="3" width="7.42578125" customWidth="1"/>
    <col min="4" max="4" width="10.42578125" customWidth="1"/>
    <col min="5" max="5" width="12.7109375" customWidth="1"/>
    <col min="7" max="7" width="11.85546875" customWidth="1"/>
    <col min="8" max="8" width="12.140625" customWidth="1"/>
    <col min="9" max="9" width="10.42578125" customWidth="1"/>
    <col min="10" max="10" width="8.5703125" customWidth="1"/>
    <col min="11" max="11" width="13.140625" customWidth="1"/>
    <col min="14" max="14" width="18.28515625" customWidth="1"/>
  </cols>
  <sheetData>
    <row r="1" spans="1:14">
      <c r="A1" s="7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10" t="s">
        <v>10</v>
      </c>
    </row>
    <row r="2" spans="1:14">
      <c r="A2" s="5" t="s">
        <v>11</v>
      </c>
      <c r="B2" s="3"/>
      <c r="C2" s="3"/>
      <c r="D2" s="3"/>
      <c r="E2" s="2"/>
      <c r="F2" s="3"/>
      <c r="G2" s="3"/>
      <c r="H2" s="3"/>
      <c r="I2" s="3"/>
      <c r="J2" s="3"/>
      <c r="K2" s="3"/>
      <c r="L2" s="9"/>
      <c r="N2" s="1" t="s">
        <v>12</v>
      </c>
    </row>
    <row r="3" spans="1:14">
      <c r="A3" s="6" t="s">
        <v>13</v>
      </c>
      <c r="B3">
        <v>3</v>
      </c>
      <c r="C3">
        <v>3</v>
      </c>
      <c r="D3">
        <v>2</v>
      </c>
      <c r="E3">
        <v>2</v>
      </c>
      <c r="F3">
        <v>2</v>
      </c>
      <c r="G3">
        <v>3</v>
      </c>
      <c r="H3">
        <v>2</v>
      </c>
      <c r="I3">
        <v>2</v>
      </c>
      <c r="J3">
        <v>3</v>
      </c>
      <c r="K3">
        <v>5</v>
      </c>
      <c r="L3" s="6">
        <f>SUM(B3:K3)</f>
        <v>27</v>
      </c>
      <c r="N3" s="1" t="s">
        <v>14</v>
      </c>
    </row>
    <row r="4" spans="1:14">
      <c r="A4" s="6" t="s">
        <v>15</v>
      </c>
      <c r="B4">
        <v>3</v>
      </c>
      <c r="C4">
        <v>4</v>
      </c>
      <c r="D4">
        <v>3</v>
      </c>
      <c r="E4">
        <v>3</v>
      </c>
      <c r="F4">
        <v>3</v>
      </c>
      <c r="G4">
        <v>3</v>
      </c>
      <c r="H4">
        <v>3</v>
      </c>
      <c r="I4">
        <v>4</v>
      </c>
      <c r="J4">
        <v>4</v>
      </c>
      <c r="K4">
        <v>5</v>
      </c>
      <c r="L4" s="6">
        <f t="shared" ref="L4:L66" si="0">SUM(B4:K4)</f>
        <v>35</v>
      </c>
    </row>
    <row r="5" spans="1:14">
      <c r="A5" s="6" t="s">
        <v>16</v>
      </c>
      <c r="B5">
        <v>2</v>
      </c>
      <c r="C5">
        <v>2</v>
      </c>
      <c r="D5">
        <v>4</v>
      </c>
      <c r="E5">
        <v>1</v>
      </c>
      <c r="F5">
        <v>1</v>
      </c>
      <c r="G5">
        <v>2</v>
      </c>
      <c r="H5">
        <v>2</v>
      </c>
      <c r="I5">
        <v>1</v>
      </c>
      <c r="J5">
        <v>3</v>
      </c>
      <c r="K5">
        <v>4</v>
      </c>
      <c r="L5" s="6">
        <f t="shared" si="0"/>
        <v>22</v>
      </c>
    </row>
    <row r="6" spans="1:14">
      <c r="A6" s="6" t="s">
        <v>17</v>
      </c>
      <c r="B6">
        <v>3</v>
      </c>
      <c r="C6">
        <v>3</v>
      </c>
      <c r="D6">
        <v>4</v>
      </c>
      <c r="E6">
        <v>2</v>
      </c>
      <c r="F6">
        <v>2</v>
      </c>
      <c r="G6">
        <v>3</v>
      </c>
      <c r="H6">
        <v>2</v>
      </c>
      <c r="I6">
        <v>2</v>
      </c>
      <c r="J6">
        <v>3</v>
      </c>
      <c r="K6">
        <v>4</v>
      </c>
      <c r="L6" s="6">
        <f t="shared" si="0"/>
        <v>28</v>
      </c>
    </row>
    <row r="7" spans="1:14">
      <c r="A7" s="6" t="s">
        <v>18</v>
      </c>
      <c r="B7">
        <v>4</v>
      </c>
      <c r="C7">
        <v>3</v>
      </c>
      <c r="D7">
        <v>4</v>
      </c>
      <c r="E7">
        <v>2</v>
      </c>
      <c r="F7">
        <v>2</v>
      </c>
      <c r="G7">
        <v>3</v>
      </c>
      <c r="H7">
        <v>2</v>
      </c>
      <c r="I7">
        <v>2</v>
      </c>
      <c r="J7">
        <v>3</v>
      </c>
      <c r="K7">
        <v>5</v>
      </c>
      <c r="L7" s="6">
        <f t="shared" si="0"/>
        <v>30</v>
      </c>
    </row>
    <row r="8" spans="1:14">
      <c r="A8" s="5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9"/>
    </row>
    <row r="9" spans="1:14">
      <c r="A9" s="6" t="s">
        <v>13</v>
      </c>
      <c r="B9">
        <v>3</v>
      </c>
      <c r="C9">
        <v>3</v>
      </c>
      <c r="D9">
        <v>3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3</v>
      </c>
      <c r="L9" s="6">
        <f t="shared" si="0"/>
        <v>24</v>
      </c>
    </row>
    <row r="10" spans="1:14">
      <c r="A10" s="6" t="s">
        <v>15</v>
      </c>
      <c r="B10">
        <v>2</v>
      </c>
      <c r="C10">
        <v>2</v>
      </c>
      <c r="D10">
        <v>1</v>
      </c>
      <c r="E10">
        <v>1</v>
      </c>
      <c r="F10">
        <v>3</v>
      </c>
      <c r="G10">
        <v>3</v>
      </c>
      <c r="H10">
        <v>2</v>
      </c>
      <c r="I10">
        <v>3</v>
      </c>
      <c r="J10">
        <v>3</v>
      </c>
      <c r="K10">
        <v>4</v>
      </c>
      <c r="L10" s="6">
        <f t="shared" si="0"/>
        <v>24</v>
      </c>
    </row>
    <row r="11" spans="1:14">
      <c r="A11" s="6" t="s">
        <v>16</v>
      </c>
      <c r="B11">
        <v>1</v>
      </c>
      <c r="C11">
        <v>2</v>
      </c>
      <c r="D11">
        <v>2</v>
      </c>
      <c r="E11">
        <v>1</v>
      </c>
      <c r="F11">
        <v>3</v>
      </c>
      <c r="G11">
        <v>3</v>
      </c>
      <c r="H11">
        <v>2</v>
      </c>
      <c r="I11">
        <v>3</v>
      </c>
      <c r="J11">
        <v>4</v>
      </c>
      <c r="K11">
        <v>5</v>
      </c>
      <c r="L11" s="6">
        <f t="shared" si="0"/>
        <v>26</v>
      </c>
    </row>
    <row r="12" spans="1:14">
      <c r="A12" s="6" t="s">
        <v>17</v>
      </c>
      <c r="B12">
        <v>3</v>
      </c>
      <c r="C12">
        <v>3</v>
      </c>
      <c r="D12">
        <v>2</v>
      </c>
      <c r="E12">
        <v>1</v>
      </c>
      <c r="F12">
        <v>2</v>
      </c>
      <c r="G12">
        <v>2</v>
      </c>
      <c r="H12">
        <v>2</v>
      </c>
      <c r="I12">
        <v>2</v>
      </c>
      <c r="J12">
        <v>3</v>
      </c>
      <c r="K12">
        <v>4</v>
      </c>
      <c r="L12" s="6">
        <f t="shared" si="0"/>
        <v>24</v>
      </c>
    </row>
    <row r="13" spans="1:14">
      <c r="A13" s="6" t="s">
        <v>18</v>
      </c>
      <c r="B13">
        <v>3</v>
      </c>
      <c r="C13">
        <v>3</v>
      </c>
      <c r="D13">
        <v>3</v>
      </c>
      <c r="E13">
        <v>2</v>
      </c>
      <c r="F13">
        <v>3</v>
      </c>
      <c r="G13">
        <v>3</v>
      </c>
      <c r="H13">
        <v>3</v>
      </c>
      <c r="I13">
        <v>3</v>
      </c>
      <c r="J13">
        <v>3</v>
      </c>
      <c r="K13">
        <v>5</v>
      </c>
      <c r="L13" s="6">
        <f t="shared" si="0"/>
        <v>31</v>
      </c>
    </row>
    <row r="14" spans="1:14">
      <c r="A14" s="5" t="s">
        <v>20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9"/>
    </row>
    <row r="15" spans="1:14">
      <c r="A15" s="6" t="s">
        <v>13</v>
      </c>
      <c r="B15">
        <v>1</v>
      </c>
      <c r="C15">
        <v>3</v>
      </c>
      <c r="D15">
        <v>4</v>
      </c>
      <c r="E15">
        <v>2</v>
      </c>
      <c r="F15">
        <v>3</v>
      </c>
      <c r="G15">
        <v>3</v>
      </c>
      <c r="H15">
        <v>2</v>
      </c>
      <c r="I15">
        <v>3</v>
      </c>
      <c r="J15">
        <v>4</v>
      </c>
      <c r="K15">
        <v>4</v>
      </c>
      <c r="L15" s="6">
        <f t="shared" si="0"/>
        <v>29</v>
      </c>
    </row>
    <row r="16" spans="1:14">
      <c r="A16" s="6" t="s">
        <v>15</v>
      </c>
      <c r="B16">
        <v>4</v>
      </c>
      <c r="C16">
        <v>4</v>
      </c>
      <c r="D16">
        <v>4</v>
      </c>
      <c r="E16">
        <v>3</v>
      </c>
      <c r="F16">
        <v>3</v>
      </c>
      <c r="G16">
        <v>3</v>
      </c>
      <c r="H16">
        <v>2</v>
      </c>
      <c r="I16">
        <v>2</v>
      </c>
      <c r="J16">
        <v>3</v>
      </c>
      <c r="K16">
        <v>6</v>
      </c>
      <c r="L16" s="6">
        <f t="shared" si="0"/>
        <v>34</v>
      </c>
    </row>
    <row r="17" spans="1:12">
      <c r="A17" s="6" t="s">
        <v>16</v>
      </c>
      <c r="B17">
        <v>1</v>
      </c>
      <c r="C17">
        <v>2</v>
      </c>
      <c r="D17">
        <v>3</v>
      </c>
      <c r="E17">
        <v>1</v>
      </c>
      <c r="F17">
        <v>2</v>
      </c>
      <c r="G17">
        <v>2</v>
      </c>
      <c r="H17">
        <v>2</v>
      </c>
      <c r="I17">
        <v>2</v>
      </c>
      <c r="J17">
        <v>2</v>
      </c>
      <c r="K17">
        <v>3</v>
      </c>
      <c r="L17" s="6">
        <f t="shared" si="0"/>
        <v>20</v>
      </c>
    </row>
    <row r="18" spans="1:12">
      <c r="A18" s="6" t="s">
        <v>17</v>
      </c>
      <c r="B18">
        <v>3</v>
      </c>
      <c r="C18">
        <v>2</v>
      </c>
      <c r="D18">
        <v>3</v>
      </c>
      <c r="E18">
        <v>1</v>
      </c>
      <c r="F18">
        <v>2</v>
      </c>
      <c r="G18">
        <v>2</v>
      </c>
      <c r="H18">
        <v>2</v>
      </c>
      <c r="I18">
        <v>2</v>
      </c>
      <c r="J18">
        <v>3</v>
      </c>
      <c r="K18">
        <v>3</v>
      </c>
      <c r="L18" s="6">
        <f t="shared" si="0"/>
        <v>23</v>
      </c>
    </row>
    <row r="19" spans="1:12">
      <c r="A19" s="6" t="s">
        <v>18</v>
      </c>
      <c r="B19">
        <v>1</v>
      </c>
      <c r="C19">
        <v>3</v>
      </c>
      <c r="D19">
        <v>3</v>
      </c>
      <c r="E19">
        <v>2</v>
      </c>
      <c r="F19">
        <v>3</v>
      </c>
      <c r="G19">
        <v>2</v>
      </c>
      <c r="H19">
        <v>2</v>
      </c>
      <c r="I19">
        <v>2</v>
      </c>
      <c r="J19">
        <v>3</v>
      </c>
      <c r="K19">
        <v>4</v>
      </c>
      <c r="L19" s="6">
        <f t="shared" si="0"/>
        <v>25</v>
      </c>
    </row>
    <row r="20" spans="1:12">
      <c r="A20" s="5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9"/>
    </row>
    <row r="21" spans="1:12">
      <c r="A21" s="6" t="s">
        <v>13</v>
      </c>
      <c r="B21">
        <v>2</v>
      </c>
      <c r="C21">
        <v>1</v>
      </c>
      <c r="D21">
        <v>2</v>
      </c>
      <c r="E21">
        <v>1</v>
      </c>
      <c r="F21">
        <v>2</v>
      </c>
      <c r="G21">
        <v>2</v>
      </c>
      <c r="H21">
        <v>3</v>
      </c>
      <c r="I21">
        <v>2</v>
      </c>
      <c r="J21">
        <v>2</v>
      </c>
      <c r="K21">
        <v>2</v>
      </c>
      <c r="L21" s="6">
        <f t="shared" si="0"/>
        <v>19</v>
      </c>
    </row>
    <row r="22" spans="1:12">
      <c r="A22" s="6" t="s">
        <v>15</v>
      </c>
      <c r="B22">
        <v>2</v>
      </c>
      <c r="C22">
        <v>1</v>
      </c>
      <c r="D22">
        <v>2</v>
      </c>
      <c r="E22">
        <v>1</v>
      </c>
      <c r="F22">
        <v>2</v>
      </c>
      <c r="G22">
        <v>3</v>
      </c>
      <c r="H22">
        <v>2</v>
      </c>
      <c r="I22">
        <v>2</v>
      </c>
      <c r="J22">
        <v>2</v>
      </c>
      <c r="K22">
        <v>3</v>
      </c>
      <c r="L22" s="6">
        <f t="shared" si="0"/>
        <v>20</v>
      </c>
    </row>
    <row r="23" spans="1:12">
      <c r="A23" s="6" t="s">
        <v>16</v>
      </c>
      <c r="B23">
        <v>2</v>
      </c>
      <c r="C23">
        <v>2</v>
      </c>
      <c r="D23">
        <v>3</v>
      </c>
      <c r="E23">
        <v>2</v>
      </c>
      <c r="F23">
        <v>3</v>
      </c>
      <c r="G23">
        <v>2</v>
      </c>
      <c r="H23">
        <v>2</v>
      </c>
      <c r="I23">
        <v>2</v>
      </c>
      <c r="J23">
        <v>2</v>
      </c>
      <c r="K23">
        <v>3</v>
      </c>
      <c r="L23" s="6">
        <f t="shared" si="0"/>
        <v>23</v>
      </c>
    </row>
    <row r="24" spans="1:12">
      <c r="A24" s="6" t="s">
        <v>17</v>
      </c>
      <c r="B24">
        <v>3</v>
      </c>
      <c r="C24">
        <v>3</v>
      </c>
      <c r="D24">
        <v>3</v>
      </c>
      <c r="E24">
        <v>3</v>
      </c>
      <c r="F24">
        <v>2</v>
      </c>
      <c r="G24">
        <v>3</v>
      </c>
      <c r="H24">
        <v>2</v>
      </c>
      <c r="I24">
        <v>2</v>
      </c>
      <c r="J24">
        <v>2</v>
      </c>
      <c r="K24">
        <v>4</v>
      </c>
      <c r="L24" s="6">
        <f>SUM(B24:K24)</f>
        <v>27</v>
      </c>
    </row>
    <row r="25" spans="1:12">
      <c r="A25" s="6" t="s">
        <v>18</v>
      </c>
      <c r="B25">
        <v>3</v>
      </c>
      <c r="C25">
        <v>2</v>
      </c>
      <c r="D25">
        <v>3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3</v>
      </c>
      <c r="L25" s="6">
        <f t="shared" si="0"/>
        <v>23</v>
      </c>
    </row>
    <row r="26" spans="1:12">
      <c r="A26" s="5" t="s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9"/>
    </row>
    <row r="27" spans="1:12">
      <c r="A27" s="6" t="s">
        <v>13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3</v>
      </c>
      <c r="K27">
        <v>3</v>
      </c>
      <c r="L27" s="6">
        <f t="shared" si="0"/>
        <v>22</v>
      </c>
    </row>
    <row r="28" spans="1:12">
      <c r="A28" s="6" t="s">
        <v>15</v>
      </c>
      <c r="B28">
        <v>2</v>
      </c>
      <c r="C28">
        <v>3</v>
      </c>
      <c r="D28">
        <v>2</v>
      </c>
      <c r="E28">
        <v>2</v>
      </c>
      <c r="F28">
        <v>2</v>
      </c>
      <c r="G28">
        <v>2</v>
      </c>
      <c r="H28">
        <v>2</v>
      </c>
      <c r="I28">
        <v>3</v>
      </c>
      <c r="J28">
        <v>3</v>
      </c>
      <c r="K28">
        <v>4</v>
      </c>
      <c r="L28" s="6">
        <f t="shared" si="0"/>
        <v>25</v>
      </c>
    </row>
    <row r="29" spans="1:12">
      <c r="A29" s="6" t="s">
        <v>16</v>
      </c>
      <c r="B29">
        <v>1</v>
      </c>
      <c r="C29">
        <v>2</v>
      </c>
      <c r="D29">
        <v>1</v>
      </c>
      <c r="E29">
        <v>2</v>
      </c>
      <c r="F29">
        <v>3</v>
      </c>
      <c r="G29">
        <v>3</v>
      </c>
      <c r="H29">
        <v>3</v>
      </c>
      <c r="I29">
        <v>3</v>
      </c>
      <c r="J29">
        <v>2</v>
      </c>
      <c r="K29">
        <v>4</v>
      </c>
      <c r="L29" s="6">
        <f t="shared" si="0"/>
        <v>24</v>
      </c>
    </row>
    <row r="30" spans="1:12">
      <c r="A30" s="6" t="s">
        <v>17</v>
      </c>
      <c r="B30">
        <v>2</v>
      </c>
      <c r="C30">
        <v>3</v>
      </c>
      <c r="D30">
        <v>1</v>
      </c>
      <c r="E30">
        <v>2</v>
      </c>
      <c r="F30">
        <v>3</v>
      </c>
      <c r="G30">
        <v>2</v>
      </c>
      <c r="H30">
        <v>2</v>
      </c>
      <c r="I30">
        <v>3</v>
      </c>
      <c r="J30">
        <v>3</v>
      </c>
      <c r="K30">
        <v>3</v>
      </c>
      <c r="L30" s="6">
        <f t="shared" si="0"/>
        <v>24</v>
      </c>
    </row>
    <row r="31" spans="1:12">
      <c r="A31" s="6" t="s">
        <v>18</v>
      </c>
      <c r="B31">
        <v>3</v>
      </c>
      <c r="C31">
        <v>3</v>
      </c>
      <c r="D31">
        <v>3</v>
      </c>
      <c r="E31">
        <v>3</v>
      </c>
      <c r="F31">
        <v>2</v>
      </c>
      <c r="G31">
        <v>3</v>
      </c>
      <c r="H31">
        <v>2</v>
      </c>
      <c r="I31">
        <v>2</v>
      </c>
      <c r="J31">
        <v>3</v>
      </c>
      <c r="K31">
        <v>5</v>
      </c>
      <c r="L31" s="6">
        <f t="shared" si="0"/>
        <v>29</v>
      </c>
    </row>
    <row r="32" spans="1:12">
      <c r="A32" s="5" t="s">
        <v>23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9"/>
    </row>
    <row r="33" spans="1:12">
      <c r="A33" s="6" t="s">
        <v>13</v>
      </c>
      <c r="B33">
        <v>2</v>
      </c>
      <c r="C33">
        <v>2</v>
      </c>
      <c r="D33">
        <v>4</v>
      </c>
      <c r="E33">
        <v>3</v>
      </c>
      <c r="F33">
        <v>3</v>
      </c>
      <c r="G33">
        <v>2</v>
      </c>
      <c r="H33">
        <v>3</v>
      </c>
      <c r="I33">
        <v>2</v>
      </c>
      <c r="J33">
        <v>3</v>
      </c>
      <c r="K33">
        <v>3</v>
      </c>
      <c r="L33" s="6">
        <f t="shared" si="0"/>
        <v>27</v>
      </c>
    </row>
    <row r="34" spans="1:12">
      <c r="A34" s="6" t="s">
        <v>15</v>
      </c>
      <c r="B34">
        <v>1</v>
      </c>
      <c r="C34">
        <v>1</v>
      </c>
      <c r="D34">
        <v>1</v>
      </c>
      <c r="E34">
        <v>1</v>
      </c>
      <c r="F34">
        <v>3</v>
      </c>
      <c r="G34">
        <v>2</v>
      </c>
      <c r="H34">
        <v>2</v>
      </c>
      <c r="I34">
        <v>3</v>
      </c>
      <c r="J34">
        <v>3</v>
      </c>
      <c r="K34">
        <v>3</v>
      </c>
      <c r="L34" s="6">
        <f t="shared" si="0"/>
        <v>20</v>
      </c>
    </row>
    <row r="35" spans="1:12">
      <c r="A35" s="6" t="s">
        <v>16</v>
      </c>
      <c r="B35">
        <v>4</v>
      </c>
      <c r="C35">
        <v>3</v>
      </c>
      <c r="D35">
        <v>3</v>
      </c>
      <c r="E35">
        <v>4</v>
      </c>
      <c r="F35">
        <v>3</v>
      </c>
      <c r="G35">
        <v>3</v>
      </c>
      <c r="H35">
        <v>2</v>
      </c>
      <c r="I35">
        <v>3</v>
      </c>
      <c r="J35">
        <v>3</v>
      </c>
      <c r="K35">
        <v>5</v>
      </c>
      <c r="L35" s="6">
        <f t="shared" si="0"/>
        <v>33</v>
      </c>
    </row>
    <row r="36" spans="1:12">
      <c r="A36" s="6" t="s">
        <v>17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3</v>
      </c>
      <c r="L36" s="6">
        <f t="shared" si="0"/>
        <v>21</v>
      </c>
    </row>
    <row r="37" spans="1:12">
      <c r="A37" s="6" t="s">
        <v>18</v>
      </c>
      <c r="B37">
        <v>3</v>
      </c>
      <c r="C37">
        <v>2</v>
      </c>
      <c r="D37">
        <v>3</v>
      </c>
      <c r="E37">
        <v>2</v>
      </c>
      <c r="F37">
        <v>3</v>
      </c>
      <c r="G37">
        <v>3</v>
      </c>
      <c r="H37">
        <v>2</v>
      </c>
      <c r="I37">
        <v>2</v>
      </c>
      <c r="J37">
        <v>3</v>
      </c>
      <c r="K37">
        <v>4</v>
      </c>
      <c r="L37" s="6">
        <f t="shared" si="0"/>
        <v>27</v>
      </c>
    </row>
    <row r="38" spans="1:12">
      <c r="A38" s="5" t="s">
        <v>24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9"/>
    </row>
    <row r="39" spans="1:12">
      <c r="A39" s="6" t="s">
        <v>13</v>
      </c>
      <c r="B39">
        <v>4</v>
      </c>
      <c r="C39">
        <v>4</v>
      </c>
      <c r="D39">
        <v>2</v>
      </c>
      <c r="E39">
        <v>4</v>
      </c>
      <c r="F39">
        <v>4</v>
      </c>
      <c r="G39">
        <v>3</v>
      </c>
      <c r="H39">
        <v>2</v>
      </c>
      <c r="I39">
        <v>4</v>
      </c>
      <c r="J39">
        <v>4</v>
      </c>
      <c r="K39">
        <v>6</v>
      </c>
      <c r="L39" s="6">
        <f t="shared" si="0"/>
        <v>37</v>
      </c>
    </row>
    <row r="40" spans="1:12">
      <c r="A40" s="6" t="s">
        <v>15</v>
      </c>
      <c r="B40">
        <v>4</v>
      </c>
      <c r="C40">
        <v>3</v>
      </c>
      <c r="D40">
        <v>4</v>
      </c>
      <c r="E40">
        <v>4</v>
      </c>
      <c r="F40">
        <v>4</v>
      </c>
      <c r="G40">
        <v>3</v>
      </c>
      <c r="H40">
        <v>2</v>
      </c>
      <c r="I40">
        <v>3</v>
      </c>
      <c r="J40">
        <v>4</v>
      </c>
      <c r="K40">
        <v>6</v>
      </c>
      <c r="L40" s="6">
        <f t="shared" si="0"/>
        <v>37</v>
      </c>
    </row>
    <row r="41" spans="1:12">
      <c r="A41" s="6" t="s">
        <v>16</v>
      </c>
      <c r="B41">
        <v>4</v>
      </c>
      <c r="C41">
        <v>3</v>
      </c>
      <c r="D41">
        <v>4</v>
      </c>
      <c r="E41">
        <v>4</v>
      </c>
      <c r="F41">
        <v>3</v>
      </c>
      <c r="G41">
        <v>3</v>
      </c>
      <c r="H41">
        <v>2</v>
      </c>
      <c r="I41">
        <v>3</v>
      </c>
      <c r="J41">
        <v>4</v>
      </c>
      <c r="K41">
        <v>6</v>
      </c>
      <c r="L41" s="6">
        <f t="shared" si="0"/>
        <v>36</v>
      </c>
    </row>
    <row r="42" spans="1:12">
      <c r="A42" s="6" t="s">
        <v>17</v>
      </c>
      <c r="B42">
        <v>4</v>
      </c>
      <c r="C42">
        <v>4</v>
      </c>
      <c r="D42">
        <v>4</v>
      </c>
      <c r="E42">
        <v>4</v>
      </c>
      <c r="F42">
        <v>4</v>
      </c>
      <c r="G42">
        <v>3</v>
      </c>
      <c r="H42">
        <v>2</v>
      </c>
      <c r="I42">
        <v>3</v>
      </c>
      <c r="J42">
        <v>4</v>
      </c>
      <c r="K42">
        <v>7</v>
      </c>
      <c r="L42" s="6">
        <f t="shared" si="0"/>
        <v>39</v>
      </c>
    </row>
    <row r="43" spans="1:12">
      <c r="A43" s="6" t="s">
        <v>18</v>
      </c>
      <c r="B43">
        <v>4</v>
      </c>
      <c r="C43">
        <v>4</v>
      </c>
      <c r="D43">
        <v>2</v>
      </c>
      <c r="E43">
        <v>4</v>
      </c>
      <c r="F43">
        <v>4</v>
      </c>
      <c r="G43">
        <v>3</v>
      </c>
      <c r="H43">
        <v>2</v>
      </c>
      <c r="I43">
        <v>3</v>
      </c>
      <c r="J43">
        <v>4</v>
      </c>
      <c r="K43">
        <v>5</v>
      </c>
      <c r="L43" s="6">
        <f t="shared" si="0"/>
        <v>35</v>
      </c>
    </row>
    <row r="44" spans="1:12">
      <c r="A44" s="5" t="s">
        <v>25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9"/>
    </row>
    <row r="45" spans="1:12">
      <c r="A45" s="6" t="s">
        <v>13</v>
      </c>
      <c r="B45">
        <v>4</v>
      </c>
      <c r="C45">
        <v>3</v>
      </c>
      <c r="D45">
        <v>3</v>
      </c>
      <c r="E45">
        <v>3</v>
      </c>
      <c r="F45">
        <v>4</v>
      </c>
      <c r="G45">
        <v>3</v>
      </c>
      <c r="H45">
        <v>3</v>
      </c>
      <c r="I45">
        <v>4</v>
      </c>
      <c r="J45">
        <v>3</v>
      </c>
      <c r="K45">
        <v>5</v>
      </c>
      <c r="L45" s="6">
        <f t="shared" si="0"/>
        <v>35</v>
      </c>
    </row>
    <row r="46" spans="1:12">
      <c r="A46" s="6" t="s">
        <v>15</v>
      </c>
      <c r="B46">
        <v>4</v>
      </c>
      <c r="C46">
        <v>4</v>
      </c>
      <c r="D46">
        <v>4</v>
      </c>
      <c r="E46">
        <v>3</v>
      </c>
      <c r="F46">
        <v>4</v>
      </c>
      <c r="G46">
        <v>3</v>
      </c>
      <c r="H46">
        <v>3</v>
      </c>
      <c r="I46">
        <v>3</v>
      </c>
      <c r="J46">
        <v>3</v>
      </c>
      <c r="K46">
        <v>5</v>
      </c>
      <c r="L46" s="6">
        <f t="shared" si="0"/>
        <v>36</v>
      </c>
    </row>
    <row r="47" spans="1:12">
      <c r="A47" s="6" t="s">
        <v>16</v>
      </c>
      <c r="B47">
        <v>4</v>
      </c>
      <c r="C47">
        <v>3</v>
      </c>
      <c r="D47">
        <v>5</v>
      </c>
      <c r="E47">
        <v>3</v>
      </c>
      <c r="F47">
        <v>4</v>
      </c>
      <c r="G47">
        <v>4</v>
      </c>
      <c r="H47">
        <v>3</v>
      </c>
      <c r="I47">
        <v>3</v>
      </c>
      <c r="J47">
        <v>2</v>
      </c>
      <c r="K47">
        <v>6</v>
      </c>
      <c r="L47" s="6">
        <f t="shared" si="0"/>
        <v>37</v>
      </c>
    </row>
    <row r="48" spans="1:12">
      <c r="A48" s="6" t="s">
        <v>17</v>
      </c>
      <c r="B48">
        <v>4</v>
      </c>
      <c r="C48">
        <v>3</v>
      </c>
      <c r="D48">
        <v>4</v>
      </c>
      <c r="E48">
        <v>3</v>
      </c>
      <c r="F48">
        <v>4</v>
      </c>
      <c r="G48">
        <v>4</v>
      </c>
      <c r="H48">
        <v>2</v>
      </c>
      <c r="I48">
        <v>2</v>
      </c>
      <c r="J48">
        <v>2</v>
      </c>
      <c r="K48">
        <v>5</v>
      </c>
      <c r="L48" s="6">
        <f t="shared" si="0"/>
        <v>33</v>
      </c>
    </row>
    <row r="49" spans="1:12">
      <c r="A49" s="6" t="s">
        <v>18</v>
      </c>
      <c r="B49">
        <v>4</v>
      </c>
      <c r="C49">
        <v>4</v>
      </c>
      <c r="D49">
        <v>5</v>
      </c>
      <c r="E49">
        <v>4</v>
      </c>
      <c r="F49">
        <v>4</v>
      </c>
      <c r="G49">
        <v>3</v>
      </c>
      <c r="H49">
        <v>3</v>
      </c>
      <c r="I49">
        <v>3</v>
      </c>
      <c r="J49">
        <v>3</v>
      </c>
      <c r="K49">
        <v>6</v>
      </c>
      <c r="L49" s="6">
        <f t="shared" si="0"/>
        <v>39</v>
      </c>
    </row>
    <row r="50" spans="1:12">
      <c r="A50" s="5" t="s">
        <v>26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9"/>
    </row>
    <row r="51" spans="1:12">
      <c r="A51" s="6" t="s">
        <v>13</v>
      </c>
      <c r="B51">
        <v>2</v>
      </c>
      <c r="C51">
        <v>2</v>
      </c>
      <c r="D51">
        <v>5</v>
      </c>
      <c r="E51">
        <v>2</v>
      </c>
      <c r="F51">
        <v>4</v>
      </c>
      <c r="G51">
        <v>2</v>
      </c>
      <c r="H51">
        <v>2</v>
      </c>
      <c r="I51">
        <v>3</v>
      </c>
      <c r="J51">
        <v>3</v>
      </c>
      <c r="K51">
        <v>3</v>
      </c>
      <c r="L51" s="6">
        <f t="shared" si="0"/>
        <v>28</v>
      </c>
    </row>
    <row r="52" spans="1:12">
      <c r="A52" s="6" t="s">
        <v>15</v>
      </c>
      <c r="B52">
        <v>4</v>
      </c>
      <c r="C52">
        <v>4</v>
      </c>
      <c r="D52">
        <v>5</v>
      </c>
      <c r="E52">
        <v>4</v>
      </c>
      <c r="F52">
        <v>4</v>
      </c>
      <c r="G52">
        <v>3</v>
      </c>
      <c r="H52">
        <v>2</v>
      </c>
      <c r="I52">
        <v>3</v>
      </c>
      <c r="J52">
        <v>3</v>
      </c>
      <c r="K52">
        <v>5</v>
      </c>
      <c r="L52" s="6">
        <f t="shared" si="0"/>
        <v>37</v>
      </c>
    </row>
    <row r="53" spans="1:12">
      <c r="A53" s="6" t="s">
        <v>16</v>
      </c>
      <c r="B53">
        <v>4</v>
      </c>
      <c r="C53">
        <v>5</v>
      </c>
      <c r="D53">
        <v>4</v>
      </c>
      <c r="E53">
        <v>4</v>
      </c>
      <c r="F53">
        <v>4</v>
      </c>
      <c r="G53">
        <v>2</v>
      </c>
      <c r="H53">
        <v>2</v>
      </c>
      <c r="I53">
        <v>4</v>
      </c>
      <c r="J53">
        <v>4</v>
      </c>
      <c r="K53">
        <v>6</v>
      </c>
      <c r="L53" s="6">
        <f t="shared" si="0"/>
        <v>39</v>
      </c>
    </row>
    <row r="54" spans="1:12">
      <c r="A54" s="6" t="s">
        <v>17</v>
      </c>
      <c r="B54">
        <v>3</v>
      </c>
      <c r="C54">
        <v>4</v>
      </c>
      <c r="D54">
        <v>4</v>
      </c>
      <c r="E54">
        <v>3</v>
      </c>
      <c r="F54">
        <v>4</v>
      </c>
      <c r="G54">
        <v>3</v>
      </c>
      <c r="H54">
        <v>2</v>
      </c>
      <c r="I54">
        <v>4</v>
      </c>
      <c r="J54">
        <v>4</v>
      </c>
      <c r="K54">
        <v>5</v>
      </c>
      <c r="L54" s="6">
        <f t="shared" si="0"/>
        <v>36</v>
      </c>
    </row>
    <row r="55" spans="1:12">
      <c r="A55" s="6" t="s">
        <v>18</v>
      </c>
      <c r="B55">
        <v>4</v>
      </c>
      <c r="C55">
        <v>4</v>
      </c>
      <c r="D55">
        <v>5</v>
      </c>
      <c r="E55">
        <v>4</v>
      </c>
      <c r="F55">
        <v>4</v>
      </c>
      <c r="G55">
        <v>3</v>
      </c>
      <c r="H55">
        <v>2</v>
      </c>
      <c r="I55">
        <v>4</v>
      </c>
      <c r="J55">
        <v>3</v>
      </c>
      <c r="K55">
        <v>6</v>
      </c>
      <c r="L55" s="6">
        <f t="shared" si="0"/>
        <v>39</v>
      </c>
    </row>
    <row r="56" spans="1:12">
      <c r="A56" s="5" t="s">
        <v>27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9"/>
    </row>
    <row r="57" spans="1:12">
      <c r="A57" s="6" t="s">
        <v>13</v>
      </c>
      <c r="B57">
        <v>3</v>
      </c>
      <c r="C57">
        <v>4</v>
      </c>
      <c r="D57">
        <v>4</v>
      </c>
      <c r="E57">
        <v>4</v>
      </c>
      <c r="F57">
        <v>4</v>
      </c>
      <c r="G57">
        <v>3</v>
      </c>
      <c r="H57">
        <v>2</v>
      </c>
      <c r="I57">
        <v>3</v>
      </c>
      <c r="J57">
        <v>4</v>
      </c>
      <c r="K57">
        <v>5</v>
      </c>
      <c r="L57" s="6">
        <f t="shared" si="0"/>
        <v>36</v>
      </c>
    </row>
    <row r="58" spans="1:12">
      <c r="A58" s="6" t="s">
        <v>15</v>
      </c>
      <c r="B58">
        <v>4</v>
      </c>
      <c r="C58">
        <v>3</v>
      </c>
      <c r="D58">
        <v>4</v>
      </c>
      <c r="E58">
        <v>4</v>
      </c>
      <c r="F58">
        <v>4</v>
      </c>
      <c r="G58">
        <v>4</v>
      </c>
      <c r="H58">
        <v>2</v>
      </c>
      <c r="I58">
        <v>3</v>
      </c>
      <c r="J58">
        <v>4</v>
      </c>
      <c r="K58">
        <v>5</v>
      </c>
      <c r="L58" s="6">
        <f t="shared" si="0"/>
        <v>37</v>
      </c>
    </row>
    <row r="59" spans="1:12">
      <c r="A59" s="6" t="s">
        <v>16</v>
      </c>
      <c r="B59">
        <v>4</v>
      </c>
      <c r="C59">
        <v>3</v>
      </c>
      <c r="D59">
        <v>4</v>
      </c>
      <c r="E59">
        <v>4</v>
      </c>
      <c r="F59">
        <v>4</v>
      </c>
      <c r="G59">
        <v>3</v>
      </c>
      <c r="H59">
        <v>2</v>
      </c>
      <c r="I59">
        <v>3</v>
      </c>
      <c r="J59">
        <v>4</v>
      </c>
      <c r="K59">
        <v>5</v>
      </c>
      <c r="L59" s="6">
        <f t="shared" si="0"/>
        <v>36</v>
      </c>
    </row>
    <row r="60" spans="1:12">
      <c r="A60" s="6" t="s">
        <v>17</v>
      </c>
      <c r="B60">
        <v>4</v>
      </c>
      <c r="C60">
        <v>4</v>
      </c>
      <c r="D60">
        <v>5</v>
      </c>
      <c r="E60">
        <v>4</v>
      </c>
      <c r="F60">
        <v>4</v>
      </c>
      <c r="G60">
        <v>3</v>
      </c>
      <c r="H60">
        <v>3</v>
      </c>
      <c r="I60">
        <v>4</v>
      </c>
      <c r="J60">
        <v>4</v>
      </c>
      <c r="K60">
        <v>6</v>
      </c>
      <c r="L60" s="6">
        <f t="shared" si="0"/>
        <v>41</v>
      </c>
    </row>
    <row r="61" spans="1:12">
      <c r="A61" s="6" t="s">
        <v>18</v>
      </c>
      <c r="B61">
        <v>4</v>
      </c>
      <c r="C61">
        <v>4</v>
      </c>
      <c r="D61">
        <v>2</v>
      </c>
      <c r="E61">
        <v>4</v>
      </c>
      <c r="F61">
        <v>4</v>
      </c>
      <c r="G61">
        <v>3</v>
      </c>
      <c r="H61">
        <v>2</v>
      </c>
      <c r="I61">
        <v>4</v>
      </c>
      <c r="J61">
        <v>4</v>
      </c>
      <c r="K61">
        <v>5</v>
      </c>
      <c r="L61" s="6">
        <f t="shared" si="0"/>
        <v>36</v>
      </c>
    </row>
    <row r="62" spans="1:12">
      <c r="A62" s="5" t="s">
        <v>28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9"/>
    </row>
    <row r="63" spans="1:12">
      <c r="A63" s="6" t="s">
        <v>13</v>
      </c>
      <c r="B63">
        <v>3</v>
      </c>
      <c r="C63">
        <v>4</v>
      </c>
      <c r="D63">
        <v>4</v>
      </c>
      <c r="E63">
        <v>3</v>
      </c>
      <c r="F63">
        <v>4</v>
      </c>
      <c r="G63">
        <v>3</v>
      </c>
      <c r="H63">
        <v>3</v>
      </c>
      <c r="I63">
        <v>2</v>
      </c>
      <c r="J63">
        <v>3</v>
      </c>
      <c r="K63">
        <v>4</v>
      </c>
      <c r="L63" s="6">
        <f t="shared" si="0"/>
        <v>33</v>
      </c>
    </row>
    <row r="64" spans="1:12">
      <c r="A64" s="6" t="s">
        <v>15</v>
      </c>
      <c r="B64">
        <v>3</v>
      </c>
      <c r="C64">
        <v>3</v>
      </c>
      <c r="D64">
        <v>3</v>
      </c>
      <c r="E64">
        <v>3</v>
      </c>
      <c r="F64">
        <v>4</v>
      </c>
      <c r="G64">
        <v>2</v>
      </c>
      <c r="H64">
        <v>3</v>
      </c>
      <c r="I64">
        <v>2</v>
      </c>
      <c r="J64">
        <v>3</v>
      </c>
      <c r="K64">
        <v>4</v>
      </c>
      <c r="L64" s="6">
        <f t="shared" si="0"/>
        <v>30</v>
      </c>
    </row>
    <row r="65" spans="1:12">
      <c r="A65" s="6" t="s">
        <v>16</v>
      </c>
      <c r="B65">
        <v>3</v>
      </c>
      <c r="C65">
        <v>2</v>
      </c>
      <c r="D65">
        <v>4</v>
      </c>
      <c r="E65">
        <v>3</v>
      </c>
      <c r="F65">
        <v>4</v>
      </c>
      <c r="G65">
        <v>3</v>
      </c>
      <c r="H65">
        <v>2</v>
      </c>
      <c r="I65">
        <v>3</v>
      </c>
      <c r="J65">
        <v>3</v>
      </c>
      <c r="K65">
        <v>4</v>
      </c>
      <c r="L65" s="6">
        <f t="shared" si="0"/>
        <v>31</v>
      </c>
    </row>
    <row r="66" spans="1:12">
      <c r="A66" s="6" t="s">
        <v>17</v>
      </c>
      <c r="B66">
        <v>4</v>
      </c>
      <c r="C66">
        <v>3</v>
      </c>
      <c r="D66">
        <v>4</v>
      </c>
      <c r="E66">
        <v>2</v>
      </c>
      <c r="F66">
        <v>4</v>
      </c>
      <c r="G66">
        <v>3</v>
      </c>
      <c r="H66">
        <v>3</v>
      </c>
      <c r="I66">
        <v>3</v>
      </c>
      <c r="J66">
        <v>3</v>
      </c>
      <c r="K66">
        <v>5</v>
      </c>
      <c r="L66" s="6">
        <f t="shared" si="0"/>
        <v>34</v>
      </c>
    </row>
    <row r="67" spans="1:12">
      <c r="A67" s="6" t="s">
        <v>18</v>
      </c>
      <c r="B67">
        <v>3</v>
      </c>
      <c r="C67">
        <v>3</v>
      </c>
      <c r="D67">
        <v>4</v>
      </c>
      <c r="E67">
        <v>2</v>
      </c>
      <c r="F67">
        <v>3</v>
      </c>
      <c r="G67">
        <v>3</v>
      </c>
      <c r="H67">
        <v>3</v>
      </c>
      <c r="I67">
        <v>4</v>
      </c>
      <c r="J67">
        <v>3</v>
      </c>
      <c r="K67">
        <v>4</v>
      </c>
      <c r="L67" s="6">
        <f t="shared" ref="L67:L72" si="1">SUM(B67:K67)</f>
        <v>32</v>
      </c>
    </row>
    <row r="68" spans="1:12">
      <c r="A68" s="5" t="s">
        <v>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9"/>
    </row>
    <row r="69" spans="1:12">
      <c r="A69" s="6" t="s">
        <v>13</v>
      </c>
      <c r="B69">
        <v>4</v>
      </c>
      <c r="C69">
        <v>4</v>
      </c>
      <c r="D69">
        <v>5</v>
      </c>
      <c r="E69">
        <v>4</v>
      </c>
      <c r="F69">
        <v>4</v>
      </c>
      <c r="G69">
        <v>3</v>
      </c>
      <c r="H69">
        <v>2</v>
      </c>
      <c r="I69">
        <v>4</v>
      </c>
      <c r="J69">
        <v>4</v>
      </c>
      <c r="K69">
        <v>4</v>
      </c>
      <c r="L69" s="6">
        <f t="shared" si="1"/>
        <v>38</v>
      </c>
    </row>
    <row r="70" spans="1:12">
      <c r="A70" s="6" t="s">
        <v>15</v>
      </c>
      <c r="B70">
        <v>4</v>
      </c>
      <c r="C70">
        <v>4</v>
      </c>
      <c r="D70">
        <v>5</v>
      </c>
      <c r="E70">
        <v>5</v>
      </c>
      <c r="F70">
        <v>4</v>
      </c>
      <c r="G70">
        <v>3</v>
      </c>
      <c r="H70">
        <v>3</v>
      </c>
      <c r="I70">
        <v>3</v>
      </c>
      <c r="J70">
        <v>4</v>
      </c>
      <c r="K70">
        <v>4</v>
      </c>
      <c r="L70" s="6">
        <f t="shared" si="1"/>
        <v>39</v>
      </c>
    </row>
    <row r="71" spans="1:12">
      <c r="A71" s="6" t="s">
        <v>16</v>
      </c>
      <c r="B71">
        <v>4</v>
      </c>
      <c r="C71">
        <v>3</v>
      </c>
      <c r="D71">
        <v>4</v>
      </c>
      <c r="E71">
        <v>4</v>
      </c>
      <c r="F71">
        <v>4</v>
      </c>
      <c r="G71">
        <v>2</v>
      </c>
      <c r="H71">
        <v>2</v>
      </c>
      <c r="I71">
        <v>2</v>
      </c>
      <c r="J71">
        <v>3</v>
      </c>
      <c r="K71">
        <v>3</v>
      </c>
      <c r="L71" s="6">
        <f t="shared" si="1"/>
        <v>31</v>
      </c>
    </row>
    <row r="72" spans="1:12">
      <c r="A72" s="6" t="s">
        <v>17</v>
      </c>
      <c r="B72">
        <v>4</v>
      </c>
      <c r="C72">
        <v>4</v>
      </c>
      <c r="D72">
        <v>4</v>
      </c>
      <c r="E72">
        <v>4</v>
      </c>
      <c r="F72">
        <v>4</v>
      </c>
      <c r="G72">
        <v>2</v>
      </c>
      <c r="H72">
        <v>2</v>
      </c>
      <c r="I72">
        <v>4</v>
      </c>
      <c r="J72">
        <v>4</v>
      </c>
      <c r="K72">
        <v>5</v>
      </c>
      <c r="L72" s="6">
        <f t="shared" si="1"/>
        <v>37</v>
      </c>
    </row>
    <row r="73" spans="1:12">
      <c r="A73" t="s">
        <v>18</v>
      </c>
      <c r="B73">
        <v>4</v>
      </c>
      <c r="C73">
        <v>4</v>
      </c>
      <c r="D73">
        <v>4</v>
      </c>
      <c r="E73">
        <v>4</v>
      </c>
      <c r="F73">
        <v>3</v>
      </c>
      <c r="G73">
        <v>2</v>
      </c>
      <c r="H73">
        <v>2</v>
      </c>
      <c r="I73">
        <v>4</v>
      </c>
      <c r="J73">
        <v>4</v>
      </c>
      <c r="K73">
        <v>5</v>
      </c>
      <c r="L73" s="6">
        <f>SUM(B73:K73)</f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DAED-4C34-434D-9981-DC67CA22AD6C}">
  <dimension ref="A1:N73"/>
  <sheetViews>
    <sheetView workbookViewId="0">
      <pane ySplit="1" topLeftCell="A2" activePane="bottomLeft" state="frozen"/>
      <selection pane="bottomLeft" activeCell="L35" sqref="L35"/>
    </sheetView>
  </sheetViews>
  <sheetFormatPr defaultRowHeight="15"/>
  <cols>
    <col min="1" max="1" width="79.5703125" customWidth="1"/>
    <col min="2" max="2" width="8.42578125" customWidth="1"/>
    <col min="3" max="3" width="7.42578125" customWidth="1"/>
    <col min="4" max="4" width="10.42578125" customWidth="1"/>
    <col min="5" max="5" width="12.7109375" customWidth="1"/>
    <col min="7" max="7" width="11.85546875" customWidth="1"/>
    <col min="8" max="8" width="12.140625" customWidth="1"/>
    <col min="9" max="9" width="13.28515625" customWidth="1"/>
    <col min="10" max="10" width="11.140625" customWidth="1"/>
    <col min="11" max="11" width="13.140625" customWidth="1"/>
    <col min="14" max="14" width="18.28515625" customWidth="1"/>
  </cols>
  <sheetData>
    <row r="1" spans="1:14">
      <c r="A1" s="7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10" t="s">
        <v>10</v>
      </c>
    </row>
    <row r="2" spans="1:14">
      <c r="A2" s="5" t="s">
        <v>11</v>
      </c>
      <c r="B2" s="3"/>
      <c r="C2" s="3"/>
      <c r="D2" s="3"/>
      <c r="E2" s="2"/>
      <c r="F2" s="3"/>
      <c r="G2" s="3"/>
      <c r="H2" s="3"/>
      <c r="I2" s="3"/>
      <c r="J2" s="3"/>
      <c r="K2" s="3"/>
      <c r="L2" s="9"/>
      <c r="N2" s="1" t="s">
        <v>12</v>
      </c>
    </row>
    <row r="3" spans="1:14">
      <c r="A3" s="6" t="s">
        <v>13</v>
      </c>
      <c r="B3">
        <v>2</v>
      </c>
      <c r="C3">
        <v>2</v>
      </c>
      <c r="D3">
        <v>1</v>
      </c>
      <c r="E3">
        <v>2</v>
      </c>
      <c r="F3">
        <v>1</v>
      </c>
      <c r="G3">
        <v>2</v>
      </c>
      <c r="H3">
        <v>2</v>
      </c>
      <c r="I3">
        <v>1</v>
      </c>
      <c r="J3">
        <v>1</v>
      </c>
      <c r="K3">
        <v>2</v>
      </c>
      <c r="L3" s="6">
        <f>SUM(B3:K3)</f>
        <v>16</v>
      </c>
      <c r="N3" s="1" t="s">
        <v>14</v>
      </c>
    </row>
    <row r="4" spans="1:14">
      <c r="A4" s="6" t="s">
        <v>15</v>
      </c>
      <c r="B4">
        <v>3</v>
      </c>
      <c r="C4">
        <v>2</v>
      </c>
      <c r="D4">
        <v>2</v>
      </c>
      <c r="E4">
        <v>2</v>
      </c>
      <c r="F4">
        <v>3</v>
      </c>
      <c r="G4">
        <v>2</v>
      </c>
      <c r="H4">
        <v>2</v>
      </c>
      <c r="I4">
        <v>3</v>
      </c>
      <c r="J4">
        <v>2</v>
      </c>
      <c r="K4">
        <v>3</v>
      </c>
      <c r="L4" s="6">
        <f t="shared" ref="L4:L67" si="0">SUM(B4:K4)</f>
        <v>24</v>
      </c>
    </row>
    <row r="5" spans="1:14">
      <c r="A5" s="6" t="s">
        <v>16</v>
      </c>
      <c r="B5">
        <v>4</v>
      </c>
      <c r="C5">
        <v>3</v>
      </c>
      <c r="D5">
        <v>4</v>
      </c>
      <c r="E5">
        <v>4</v>
      </c>
      <c r="F5">
        <v>3</v>
      </c>
      <c r="G5">
        <v>4</v>
      </c>
      <c r="H5">
        <v>3</v>
      </c>
      <c r="I5">
        <v>4</v>
      </c>
      <c r="J5">
        <v>3</v>
      </c>
      <c r="K5">
        <v>5</v>
      </c>
      <c r="L5" s="6">
        <f t="shared" si="0"/>
        <v>37</v>
      </c>
    </row>
    <row r="6" spans="1:14">
      <c r="A6" s="6" t="s">
        <v>17</v>
      </c>
      <c r="B6">
        <v>3</v>
      </c>
      <c r="C6">
        <v>2</v>
      </c>
      <c r="D6">
        <v>2</v>
      </c>
      <c r="E6">
        <v>2</v>
      </c>
      <c r="F6">
        <v>3</v>
      </c>
      <c r="G6">
        <v>2</v>
      </c>
      <c r="H6">
        <v>3</v>
      </c>
      <c r="I6">
        <v>2</v>
      </c>
      <c r="J6">
        <v>2</v>
      </c>
      <c r="K6">
        <v>4</v>
      </c>
      <c r="L6" s="6">
        <f t="shared" si="0"/>
        <v>25</v>
      </c>
    </row>
    <row r="7" spans="1:14">
      <c r="A7" s="6" t="s">
        <v>18</v>
      </c>
      <c r="B7">
        <v>3</v>
      </c>
      <c r="C7">
        <v>2</v>
      </c>
      <c r="D7">
        <v>3</v>
      </c>
      <c r="E7">
        <v>3</v>
      </c>
      <c r="F7">
        <v>2</v>
      </c>
      <c r="G7">
        <v>3</v>
      </c>
      <c r="H7">
        <v>2</v>
      </c>
      <c r="I7">
        <v>2</v>
      </c>
      <c r="J7">
        <v>2</v>
      </c>
      <c r="K7">
        <v>4</v>
      </c>
      <c r="L7" s="6">
        <f t="shared" si="0"/>
        <v>26</v>
      </c>
    </row>
    <row r="8" spans="1:14">
      <c r="A8" s="5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9"/>
    </row>
    <row r="9" spans="1:14">
      <c r="A9" s="6" t="s">
        <v>13</v>
      </c>
      <c r="B9">
        <v>3</v>
      </c>
      <c r="C9">
        <v>3</v>
      </c>
      <c r="D9">
        <v>3</v>
      </c>
      <c r="E9">
        <v>3</v>
      </c>
      <c r="F9">
        <v>2</v>
      </c>
      <c r="G9">
        <v>2</v>
      </c>
      <c r="H9">
        <v>2</v>
      </c>
      <c r="I9">
        <v>2</v>
      </c>
      <c r="J9">
        <v>2</v>
      </c>
      <c r="K9">
        <v>5</v>
      </c>
      <c r="L9" s="6">
        <f t="shared" si="0"/>
        <v>27</v>
      </c>
    </row>
    <row r="10" spans="1:14">
      <c r="A10" s="6" t="s">
        <v>15</v>
      </c>
      <c r="B10">
        <v>2</v>
      </c>
      <c r="C10">
        <v>3</v>
      </c>
      <c r="D10">
        <v>3</v>
      </c>
      <c r="E10">
        <v>2</v>
      </c>
      <c r="F10">
        <v>2</v>
      </c>
      <c r="G10">
        <v>2</v>
      </c>
      <c r="H10">
        <v>2</v>
      </c>
      <c r="I10">
        <v>3</v>
      </c>
      <c r="J10">
        <v>2</v>
      </c>
      <c r="K10">
        <v>5</v>
      </c>
      <c r="L10" s="6">
        <f t="shared" si="0"/>
        <v>26</v>
      </c>
    </row>
    <row r="11" spans="1:14">
      <c r="A11" s="6" t="s">
        <v>16</v>
      </c>
      <c r="B11">
        <v>1</v>
      </c>
      <c r="C11">
        <v>2</v>
      </c>
      <c r="D11">
        <v>2</v>
      </c>
      <c r="E11">
        <v>2</v>
      </c>
      <c r="F11">
        <v>3</v>
      </c>
      <c r="G11">
        <v>3</v>
      </c>
      <c r="H11">
        <v>3</v>
      </c>
      <c r="I11">
        <v>2</v>
      </c>
      <c r="J11">
        <v>2</v>
      </c>
      <c r="K11">
        <v>4</v>
      </c>
      <c r="L11" s="6">
        <f t="shared" si="0"/>
        <v>24</v>
      </c>
    </row>
    <row r="12" spans="1:14">
      <c r="A12" s="6" t="s">
        <v>17</v>
      </c>
      <c r="B12">
        <v>2</v>
      </c>
      <c r="C12">
        <v>2</v>
      </c>
      <c r="D12">
        <v>2</v>
      </c>
      <c r="E12">
        <v>2</v>
      </c>
      <c r="F12">
        <v>4</v>
      </c>
      <c r="G12">
        <v>4</v>
      </c>
      <c r="H12">
        <v>3</v>
      </c>
      <c r="I12">
        <v>3</v>
      </c>
      <c r="J12">
        <v>3</v>
      </c>
      <c r="K12">
        <v>5</v>
      </c>
      <c r="L12" s="6">
        <f t="shared" si="0"/>
        <v>30</v>
      </c>
    </row>
    <row r="13" spans="1:14">
      <c r="A13" s="6" t="s">
        <v>18</v>
      </c>
      <c r="B13">
        <v>3</v>
      </c>
      <c r="C13">
        <v>3</v>
      </c>
      <c r="D13">
        <v>3</v>
      </c>
      <c r="E13">
        <v>2</v>
      </c>
      <c r="F13">
        <v>3</v>
      </c>
      <c r="G13">
        <v>2</v>
      </c>
      <c r="H13">
        <v>2</v>
      </c>
      <c r="I13">
        <v>3</v>
      </c>
      <c r="J13">
        <v>2</v>
      </c>
      <c r="K13">
        <v>4</v>
      </c>
      <c r="L13" s="6">
        <f t="shared" si="0"/>
        <v>27</v>
      </c>
    </row>
    <row r="14" spans="1:14">
      <c r="A14" s="5" t="s">
        <v>20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9"/>
    </row>
    <row r="15" spans="1:14">
      <c r="A15" s="6" t="s">
        <v>13</v>
      </c>
      <c r="B15">
        <v>1</v>
      </c>
      <c r="C15">
        <v>2</v>
      </c>
      <c r="D15">
        <v>2</v>
      </c>
      <c r="E15">
        <v>2</v>
      </c>
      <c r="F15">
        <v>2</v>
      </c>
      <c r="G15">
        <v>3</v>
      </c>
      <c r="H15">
        <v>2</v>
      </c>
      <c r="I15">
        <v>1</v>
      </c>
      <c r="J15">
        <v>2</v>
      </c>
      <c r="K15">
        <v>3</v>
      </c>
      <c r="L15" s="6">
        <f t="shared" si="0"/>
        <v>20</v>
      </c>
    </row>
    <row r="16" spans="1:14">
      <c r="A16" s="6" t="s">
        <v>15</v>
      </c>
      <c r="B16">
        <v>4</v>
      </c>
      <c r="C16">
        <v>4</v>
      </c>
      <c r="D16">
        <v>3</v>
      </c>
      <c r="E16">
        <v>3</v>
      </c>
      <c r="F16">
        <v>3</v>
      </c>
      <c r="G16">
        <v>3</v>
      </c>
      <c r="H16">
        <v>3</v>
      </c>
      <c r="I16">
        <v>2</v>
      </c>
      <c r="J16">
        <v>2</v>
      </c>
      <c r="K16">
        <v>5</v>
      </c>
      <c r="L16" s="6">
        <f t="shared" si="0"/>
        <v>32</v>
      </c>
    </row>
    <row r="17" spans="1:12">
      <c r="A17" s="6" t="s">
        <v>16</v>
      </c>
      <c r="B17">
        <v>1</v>
      </c>
      <c r="C17">
        <v>1</v>
      </c>
      <c r="D17">
        <v>2</v>
      </c>
      <c r="E17">
        <v>1</v>
      </c>
      <c r="F17">
        <v>2</v>
      </c>
      <c r="G17">
        <v>2</v>
      </c>
      <c r="H17">
        <v>2</v>
      </c>
      <c r="I17">
        <v>1</v>
      </c>
      <c r="J17">
        <v>2</v>
      </c>
      <c r="K17">
        <v>2</v>
      </c>
      <c r="L17" s="6">
        <f t="shared" si="0"/>
        <v>16</v>
      </c>
    </row>
    <row r="18" spans="1:12">
      <c r="A18" s="6" t="s">
        <v>17</v>
      </c>
      <c r="B18">
        <v>4</v>
      </c>
      <c r="C18">
        <v>2</v>
      </c>
      <c r="D18">
        <v>3</v>
      </c>
      <c r="E18">
        <v>2</v>
      </c>
      <c r="F18">
        <v>1</v>
      </c>
      <c r="G18">
        <v>2</v>
      </c>
      <c r="H18">
        <v>2</v>
      </c>
      <c r="I18">
        <v>1</v>
      </c>
      <c r="J18">
        <v>1</v>
      </c>
      <c r="K18">
        <v>2</v>
      </c>
      <c r="L18" s="6">
        <f t="shared" si="0"/>
        <v>20</v>
      </c>
    </row>
    <row r="19" spans="1:12">
      <c r="A19" s="6" t="s">
        <v>18</v>
      </c>
      <c r="B19">
        <v>1</v>
      </c>
      <c r="C19">
        <v>2</v>
      </c>
      <c r="D19">
        <v>1</v>
      </c>
      <c r="E19">
        <v>2</v>
      </c>
      <c r="F19">
        <v>2</v>
      </c>
      <c r="G19">
        <v>2</v>
      </c>
      <c r="H19">
        <v>2</v>
      </c>
      <c r="I19">
        <v>1</v>
      </c>
      <c r="J19">
        <v>2</v>
      </c>
      <c r="K19">
        <v>3</v>
      </c>
      <c r="L19" s="6">
        <f t="shared" si="0"/>
        <v>18</v>
      </c>
    </row>
    <row r="20" spans="1:12">
      <c r="A20" s="5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9"/>
    </row>
    <row r="21" spans="1:12">
      <c r="A21" s="6" t="s">
        <v>13</v>
      </c>
      <c r="B21">
        <v>1</v>
      </c>
      <c r="C21">
        <v>1</v>
      </c>
      <c r="D21">
        <v>1</v>
      </c>
      <c r="E21">
        <v>2</v>
      </c>
      <c r="F21">
        <v>2</v>
      </c>
      <c r="G21">
        <v>2</v>
      </c>
      <c r="H21">
        <v>2</v>
      </c>
      <c r="I21">
        <v>1</v>
      </c>
      <c r="J21">
        <v>1</v>
      </c>
      <c r="K21">
        <v>2</v>
      </c>
      <c r="L21" s="6">
        <f t="shared" si="0"/>
        <v>15</v>
      </c>
    </row>
    <row r="22" spans="1:12">
      <c r="A22" s="6" t="s">
        <v>15</v>
      </c>
      <c r="B22">
        <v>1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>
        <v>1</v>
      </c>
      <c r="J22">
        <v>1</v>
      </c>
      <c r="K22">
        <v>2</v>
      </c>
      <c r="L22" s="6">
        <f t="shared" si="0"/>
        <v>14</v>
      </c>
    </row>
    <row r="23" spans="1:12">
      <c r="A23" s="6" t="s">
        <v>16</v>
      </c>
      <c r="B23">
        <v>2</v>
      </c>
      <c r="C23">
        <v>3</v>
      </c>
      <c r="D23">
        <v>1</v>
      </c>
      <c r="E23">
        <v>2</v>
      </c>
      <c r="F23">
        <v>2</v>
      </c>
      <c r="G23">
        <v>1</v>
      </c>
      <c r="H23">
        <v>2</v>
      </c>
      <c r="I23">
        <v>1</v>
      </c>
      <c r="J23">
        <v>2</v>
      </c>
      <c r="K23">
        <v>2</v>
      </c>
      <c r="L23" s="6">
        <f t="shared" si="0"/>
        <v>18</v>
      </c>
    </row>
    <row r="24" spans="1:12">
      <c r="A24" s="6" t="s">
        <v>17</v>
      </c>
      <c r="B24">
        <v>2</v>
      </c>
      <c r="C24">
        <v>2</v>
      </c>
      <c r="D24">
        <v>1</v>
      </c>
      <c r="E24">
        <v>2</v>
      </c>
      <c r="F24">
        <v>1</v>
      </c>
      <c r="G24">
        <v>1</v>
      </c>
      <c r="H24">
        <v>2</v>
      </c>
      <c r="I24">
        <v>1</v>
      </c>
      <c r="J24">
        <v>1</v>
      </c>
      <c r="K24">
        <v>2</v>
      </c>
      <c r="L24" s="6">
        <f t="shared" si="0"/>
        <v>15</v>
      </c>
    </row>
    <row r="25" spans="1:12">
      <c r="A25" s="6" t="s">
        <v>18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2</v>
      </c>
      <c r="J25">
        <v>3</v>
      </c>
      <c r="K25">
        <v>5</v>
      </c>
      <c r="L25" s="6">
        <f t="shared" si="0"/>
        <v>31</v>
      </c>
    </row>
    <row r="26" spans="1:12">
      <c r="A26" s="5" t="s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9"/>
    </row>
    <row r="27" spans="1:12">
      <c r="A27" s="6" t="s">
        <v>13</v>
      </c>
      <c r="B27">
        <v>2</v>
      </c>
      <c r="C27">
        <v>2</v>
      </c>
      <c r="D27">
        <v>2</v>
      </c>
      <c r="E27">
        <v>2</v>
      </c>
      <c r="F27">
        <v>1</v>
      </c>
      <c r="G27">
        <v>2</v>
      </c>
      <c r="H27">
        <v>1</v>
      </c>
      <c r="I27">
        <v>2</v>
      </c>
      <c r="J27">
        <v>2</v>
      </c>
      <c r="K27">
        <v>3</v>
      </c>
      <c r="L27" s="6">
        <f t="shared" si="0"/>
        <v>19</v>
      </c>
    </row>
    <row r="28" spans="1:12">
      <c r="A28" s="6" t="s">
        <v>15</v>
      </c>
      <c r="B28">
        <v>2</v>
      </c>
      <c r="C28">
        <v>3</v>
      </c>
      <c r="D28">
        <v>2</v>
      </c>
      <c r="E28">
        <v>3</v>
      </c>
      <c r="F28">
        <v>2</v>
      </c>
      <c r="G28">
        <v>2</v>
      </c>
      <c r="H28">
        <v>2</v>
      </c>
      <c r="I28">
        <v>2</v>
      </c>
      <c r="J28">
        <v>2</v>
      </c>
      <c r="K28">
        <v>3</v>
      </c>
      <c r="L28" s="6">
        <f t="shared" si="0"/>
        <v>23</v>
      </c>
    </row>
    <row r="29" spans="1:12">
      <c r="A29" s="6" t="s">
        <v>16</v>
      </c>
      <c r="B29">
        <v>1</v>
      </c>
      <c r="C29">
        <v>2</v>
      </c>
      <c r="D29">
        <v>1</v>
      </c>
      <c r="E29">
        <v>1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 s="6">
        <f t="shared" si="0"/>
        <v>17</v>
      </c>
    </row>
    <row r="30" spans="1:12">
      <c r="A30" s="6" t="s">
        <v>17</v>
      </c>
      <c r="B30">
        <v>3</v>
      </c>
      <c r="C30">
        <v>2</v>
      </c>
      <c r="D30">
        <v>1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  <c r="K30">
        <v>3</v>
      </c>
      <c r="L30" s="6">
        <f t="shared" si="0"/>
        <v>19</v>
      </c>
    </row>
    <row r="31" spans="1:12">
      <c r="A31" s="6" t="s">
        <v>18</v>
      </c>
      <c r="B31">
        <v>3</v>
      </c>
      <c r="C31">
        <v>2</v>
      </c>
      <c r="D31">
        <v>3</v>
      </c>
      <c r="E31">
        <v>3</v>
      </c>
      <c r="F31">
        <v>3</v>
      </c>
      <c r="G31">
        <v>2</v>
      </c>
      <c r="H31">
        <v>2</v>
      </c>
      <c r="I31">
        <v>3</v>
      </c>
      <c r="J31">
        <v>3</v>
      </c>
      <c r="K31">
        <v>5</v>
      </c>
      <c r="L31" s="6">
        <f t="shared" si="0"/>
        <v>29</v>
      </c>
    </row>
    <row r="32" spans="1:12">
      <c r="A32" s="5" t="s">
        <v>23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9"/>
    </row>
    <row r="33" spans="1:12">
      <c r="A33" s="6" t="s">
        <v>13</v>
      </c>
      <c r="B33">
        <v>1</v>
      </c>
      <c r="C33">
        <v>2</v>
      </c>
      <c r="D33">
        <v>3</v>
      </c>
      <c r="E33">
        <v>2</v>
      </c>
      <c r="F33">
        <v>3</v>
      </c>
      <c r="G33">
        <v>3</v>
      </c>
      <c r="H33">
        <v>2</v>
      </c>
      <c r="I33">
        <v>1</v>
      </c>
      <c r="J33">
        <v>2</v>
      </c>
      <c r="K33">
        <v>3</v>
      </c>
      <c r="L33" s="6">
        <f t="shared" si="0"/>
        <v>22</v>
      </c>
    </row>
    <row r="34" spans="1:12">
      <c r="A34" s="6" t="s">
        <v>15</v>
      </c>
      <c r="B34">
        <v>1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>
        <v>1</v>
      </c>
      <c r="J34">
        <v>2</v>
      </c>
      <c r="K34">
        <v>1</v>
      </c>
      <c r="L34" s="6">
        <f t="shared" si="0"/>
        <v>14</v>
      </c>
    </row>
    <row r="35" spans="1:12">
      <c r="A35" s="6" t="s">
        <v>16</v>
      </c>
      <c r="B35">
        <v>5</v>
      </c>
      <c r="C35">
        <v>5</v>
      </c>
      <c r="D35">
        <v>4</v>
      </c>
      <c r="E35">
        <v>4</v>
      </c>
      <c r="F35">
        <v>5</v>
      </c>
      <c r="G35">
        <v>4</v>
      </c>
      <c r="H35">
        <v>3</v>
      </c>
      <c r="I35">
        <v>2</v>
      </c>
      <c r="J35">
        <v>3</v>
      </c>
      <c r="K35">
        <v>8</v>
      </c>
      <c r="L35" s="6">
        <f t="shared" si="0"/>
        <v>43</v>
      </c>
    </row>
    <row r="36" spans="1:12">
      <c r="A36" s="6" t="s">
        <v>17</v>
      </c>
      <c r="B36">
        <v>1</v>
      </c>
      <c r="C36">
        <v>1</v>
      </c>
      <c r="D36">
        <v>1</v>
      </c>
      <c r="E36">
        <v>1</v>
      </c>
      <c r="F36">
        <v>2</v>
      </c>
      <c r="G36">
        <v>2</v>
      </c>
      <c r="H36">
        <v>3</v>
      </c>
      <c r="I36">
        <v>2</v>
      </c>
      <c r="J36">
        <v>2</v>
      </c>
      <c r="K36">
        <v>1</v>
      </c>
      <c r="L36" s="6">
        <f t="shared" si="0"/>
        <v>16</v>
      </c>
    </row>
    <row r="37" spans="1:12">
      <c r="A37" s="6" t="s">
        <v>18</v>
      </c>
      <c r="B37">
        <v>3</v>
      </c>
      <c r="C37">
        <v>3</v>
      </c>
      <c r="D37">
        <v>2</v>
      </c>
      <c r="E37">
        <v>2</v>
      </c>
      <c r="F37">
        <v>3</v>
      </c>
      <c r="G37">
        <v>3</v>
      </c>
      <c r="H37">
        <v>2</v>
      </c>
      <c r="I37">
        <v>1</v>
      </c>
      <c r="J37">
        <v>2</v>
      </c>
      <c r="K37">
        <v>4</v>
      </c>
      <c r="L37" s="6">
        <f t="shared" si="0"/>
        <v>25</v>
      </c>
    </row>
    <row r="38" spans="1:12">
      <c r="A38" s="5" t="s">
        <v>24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9"/>
    </row>
    <row r="39" spans="1:12">
      <c r="A39" s="6" t="s">
        <v>13</v>
      </c>
      <c r="B39">
        <v>5</v>
      </c>
      <c r="C39">
        <v>5</v>
      </c>
      <c r="D39">
        <v>2</v>
      </c>
      <c r="E39">
        <v>5</v>
      </c>
      <c r="F39">
        <v>4</v>
      </c>
      <c r="G39">
        <v>4</v>
      </c>
      <c r="H39">
        <v>4</v>
      </c>
      <c r="I39">
        <v>4</v>
      </c>
      <c r="J39">
        <v>4</v>
      </c>
      <c r="K39">
        <v>7</v>
      </c>
      <c r="L39" s="6">
        <f t="shared" si="0"/>
        <v>44</v>
      </c>
    </row>
    <row r="40" spans="1:12">
      <c r="A40" s="6" t="s">
        <v>15</v>
      </c>
      <c r="B40">
        <v>4</v>
      </c>
      <c r="C40">
        <v>4</v>
      </c>
      <c r="D40">
        <v>4</v>
      </c>
      <c r="E40">
        <v>4</v>
      </c>
      <c r="F40">
        <v>4</v>
      </c>
      <c r="G40">
        <v>5</v>
      </c>
      <c r="H40">
        <v>4</v>
      </c>
      <c r="I40">
        <v>3</v>
      </c>
      <c r="J40">
        <v>4</v>
      </c>
      <c r="K40">
        <v>7</v>
      </c>
      <c r="L40" s="6">
        <f t="shared" si="0"/>
        <v>43</v>
      </c>
    </row>
    <row r="41" spans="1:12">
      <c r="A41" s="6" t="s">
        <v>16</v>
      </c>
      <c r="B41">
        <v>4</v>
      </c>
      <c r="C41">
        <v>4</v>
      </c>
      <c r="D41">
        <v>4</v>
      </c>
      <c r="E41">
        <v>4</v>
      </c>
      <c r="F41">
        <v>4</v>
      </c>
      <c r="G41">
        <v>4</v>
      </c>
      <c r="H41">
        <v>3</v>
      </c>
      <c r="I41">
        <v>2</v>
      </c>
      <c r="J41">
        <v>3</v>
      </c>
      <c r="K41">
        <v>6</v>
      </c>
      <c r="L41" s="6">
        <f t="shared" si="0"/>
        <v>38</v>
      </c>
    </row>
    <row r="42" spans="1:12">
      <c r="A42" s="6" t="s">
        <v>17</v>
      </c>
      <c r="B42">
        <v>4</v>
      </c>
      <c r="C42">
        <v>5</v>
      </c>
      <c r="D42">
        <v>4</v>
      </c>
      <c r="E42">
        <v>4</v>
      </c>
      <c r="F42">
        <v>4</v>
      </c>
      <c r="G42">
        <v>5</v>
      </c>
      <c r="H42">
        <v>4</v>
      </c>
      <c r="I42">
        <v>3</v>
      </c>
      <c r="J42">
        <v>2</v>
      </c>
      <c r="K42">
        <v>7</v>
      </c>
      <c r="L42" s="6">
        <f t="shared" si="0"/>
        <v>42</v>
      </c>
    </row>
    <row r="43" spans="1:12">
      <c r="A43" s="6" t="s">
        <v>18</v>
      </c>
      <c r="B43">
        <v>4</v>
      </c>
      <c r="C43">
        <v>4</v>
      </c>
      <c r="D43">
        <v>2</v>
      </c>
      <c r="E43">
        <v>4</v>
      </c>
      <c r="F43">
        <v>4</v>
      </c>
      <c r="G43">
        <v>4</v>
      </c>
      <c r="H43">
        <v>4</v>
      </c>
      <c r="I43">
        <v>3</v>
      </c>
      <c r="J43">
        <v>4</v>
      </c>
      <c r="K43">
        <v>6</v>
      </c>
      <c r="L43" s="6">
        <f t="shared" si="0"/>
        <v>39</v>
      </c>
    </row>
    <row r="44" spans="1:12">
      <c r="A44" s="5" t="s">
        <v>25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9"/>
    </row>
    <row r="45" spans="1:12">
      <c r="A45" s="6" t="s">
        <v>13</v>
      </c>
      <c r="B45">
        <v>4</v>
      </c>
      <c r="C45">
        <v>4</v>
      </c>
      <c r="D45">
        <v>3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7</v>
      </c>
      <c r="L45" s="6">
        <f t="shared" si="0"/>
        <v>42</v>
      </c>
    </row>
    <row r="46" spans="1:12">
      <c r="A46" s="6" t="s">
        <v>15</v>
      </c>
      <c r="B46">
        <v>4</v>
      </c>
      <c r="C46">
        <v>4</v>
      </c>
      <c r="D46">
        <v>4</v>
      </c>
      <c r="E46">
        <v>3</v>
      </c>
      <c r="F46">
        <v>3</v>
      </c>
      <c r="G46">
        <v>4</v>
      </c>
      <c r="H46">
        <v>3</v>
      </c>
      <c r="I46">
        <v>4</v>
      </c>
      <c r="J46">
        <v>5</v>
      </c>
      <c r="K46">
        <v>6</v>
      </c>
      <c r="L46" s="6">
        <f t="shared" si="0"/>
        <v>40</v>
      </c>
    </row>
    <row r="47" spans="1:12">
      <c r="A47" s="6" t="s">
        <v>16</v>
      </c>
      <c r="B47">
        <v>4</v>
      </c>
      <c r="C47">
        <v>5</v>
      </c>
      <c r="D47">
        <v>5</v>
      </c>
      <c r="E47">
        <v>4</v>
      </c>
      <c r="F47">
        <v>5</v>
      </c>
      <c r="G47">
        <v>5</v>
      </c>
      <c r="H47">
        <v>4</v>
      </c>
      <c r="I47">
        <v>5</v>
      </c>
      <c r="J47">
        <v>4</v>
      </c>
      <c r="K47">
        <v>8</v>
      </c>
      <c r="L47" s="6">
        <f t="shared" si="0"/>
        <v>49</v>
      </c>
    </row>
    <row r="48" spans="1:12">
      <c r="A48" s="6" t="s">
        <v>17</v>
      </c>
      <c r="B48">
        <v>3</v>
      </c>
      <c r="C48">
        <v>4</v>
      </c>
      <c r="D48">
        <v>4</v>
      </c>
      <c r="E48">
        <v>3</v>
      </c>
      <c r="F48">
        <v>4</v>
      </c>
      <c r="G48">
        <v>3</v>
      </c>
      <c r="H48">
        <v>3</v>
      </c>
      <c r="I48">
        <v>4</v>
      </c>
      <c r="J48">
        <v>3</v>
      </c>
      <c r="K48">
        <v>6</v>
      </c>
      <c r="L48" s="6">
        <f t="shared" si="0"/>
        <v>37</v>
      </c>
    </row>
    <row r="49" spans="1:12">
      <c r="A49" s="6" t="s">
        <v>18</v>
      </c>
      <c r="B49">
        <v>4</v>
      </c>
      <c r="C49">
        <v>5</v>
      </c>
      <c r="D49">
        <v>4</v>
      </c>
      <c r="E49">
        <v>4</v>
      </c>
      <c r="F49">
        <v>4</v>
      </c>
      <c r="G49">
        <v>4</v>
      </c>
      <c r="H49">
        <v>3</v>
      </c>
      <c r="I49">
        <v>4</v>
      </c>
      <c r="J49">
        <v>3</v>
      </c>
      <c r="K49">
        <v>7</v>
      </c>
      <c r="L49" s="6">
        <f t="shared" si="0"/>
        <v>42</v>
      </c>
    </row>
    <row r="50" spans="1:12">
      <c r="A50" s="5" t="s">
        <v>26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9"/>
    </row>
    <row r="51" spans="1:12">
      <c r="A51" s="6" t="s">
        <v>13</v>
      </c>
      <c r="B51">
        <v>2</v>
      </c>
      <c r="C51">
        <v>2</v>
      </c>
      <c r="D51">
        <v>2</v>
      </c>
      <c r="E51">
        <v>1</v>
      </c>
      <c r="F51">
        <v>2</v>
      </c>
      <c r="G51">
        <v>2</v>
      </c>
      <c r="H51">
        <v>3</v>
      </c>
      <c r="I51">
        <v>1</v>
      </c>
      <c r="J51">
        <v>2</v>
      </c>
      <c r="K51">
        <v>3</v>
      </c>
      <c r="L51" s="6">
        <f t="shared" si="0"/>
        <v>20</v>
      </c>
    </row>
    <row r="52" spans="1:12">
      <c r="A52" s="6" t="s">
        <v>15</v>
      </c>
      <c r="B52">
        <v>4</v>
      </c>
      <c r="C52">
        <v>4</v>
      </c>
      <c r="D52">
        <v>4</v>
      </c>
      <c r="E52">
        <v>4</v>
      </c>
      <c r="F52">
        <v>3</v>
      </c>
      <c r="G52">
        <v>3</v>
      </c>
      <c r="H52">
        <v>3</v>
      </c>
      <c r="I52">
        <v>3</v>
      </c>
      <c r="J52">
        <v>3</v>
      </c>
      <c r="K52">
        <v>6</v>
      </c>
      <c r="L52" s="6">
        <f t="shared" si="0"/>
        <v>37</v>
      </c>
    </row>
    <row r="53" spans="1:12">
      <c r="A53" s="6" t="s">
        <v>16</v>
      </c>
      <c r="B53">
        <v>4</v>
      </c>
      <c r="C53">
        <v>4</v>
      </c>
      <c r="D53">
        <v>2</v>
      </c>
      <c r="E53">
        <v>4</v>
      </c>
      <c r="F53">
        <v>4</v>
      </c>
      <c r="G53">
        <v>3</v>
      </c>
      <c r="H53">
        <v>3</v>
      </c>
      <c r="I53">
        <v>3</v>
      </c>
      <c r="J53">
        <v>3</v>
      </c>
      <c r="K53">
        <v>6</v>
      </c>
      <c r="L53" s="6">
        <f t="shared" si="0"/>
        <v>36</v>
      </c>
    </row>
    <row r="54" spans="1:12">
      <c r="A54" s="6" t="s">
        <v>17</v>
      </c>
      <c r="B54">
        <v>3</v>
      </c>
      <c r="C54">
        <v>4</v>
      </c>
      <c r="D54">
        <v>4</v>
      </c>
      <c r="E54">
        <v>3</v>
      </c>
      <c r="F54">
        <v>4</v>
      </c>
      <c r="G54">
        <v>3</v>
      </c>
      <c r="H54">
        <v>3</v>
      </c>
      <c r="I54">
        <v>3</v>
      </c>
      <c r="J54">
        <v>3</v>
      </c>
      <c r="K54">
        <v>6</v>
      </c>
      <c r="L54" s="6">
        <f t="shared" si="0"/>
        <v>36</v>
      </c>
    </row>
    <row r="55" spans="1:12">
      <c r="A55" s="6" t="s">
        <v>18</v>
      </c>
      <c r="B55">
        <v>5</v>
      </c>
      <c r="C55">
        <v>5</v>
      </c>
      <c r="D55">
        <v>4</v>
      </c>
      <c r="E55">
        <v>5</v>
      </c>
      <c r="F55">
        <v>4</v>
      </c>
      <c r="G55">
        <v>4</v>
      </c>
      <c r="H55">
        <v>5</v>
      </c>
      <c r="I55">
        <v>3</v>
      </c>
      <c r="J55">
        <v>4</v>
      </c>
      <c r="K55">
        <v>8</v>
      </c>
      <c r="L55" s="6">
        <f t="shared" si="0"/>
        <v>47</v>
      </c>
    </row>
    <row r="56" spans="1:12">
      <c r="A56" s="5" t="s">
        <v>27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9"/>
    </row>
    <row r="57" spans="1:12">
      <c r="A57" s="6" t="s">
        <v>13</v>
      </c>
      <c r="B57">
        <v>4</v>
      </c>
      <c r="C57">
        <v>3</v>
      </c>
      <c r="D57">
        <v>4</v>
      </c>
      <c r="E57">
        <v>4</v>
      </c>
      <c r="F57">
        <v>5</v>
      </c>
      <c r="G57">
        <v>5</v>
      </c>
      <c r="H57">
        <v>4</v>
      </c>
      <c r="I57">
        <v>4</v>
      </c>
      <c r="J57">
        <v>4</v>
      </c>
      <c r="K57">
        <v>8</v>
      </c>
      <c r="L57" s="6">
        <f t="shared" si="0"/>
        <v>45</v>
      </c>
    </row>
    <row r="58" spans="1:12">
      <c r="A58" s="6" t="s">
        <v>15</v>
      </c>
      <c r="B58">
        <v>4</v>
      </c>
      <c r="C58">
        <v>3</v>
      </c>
      <c r="D58">
        <v>4</v>
      </c>
      <c r="E58">
        <v>4</v>
      </c>
      <c r="F58">
        <v>4</v>
      </c>
      <c r="G58">
        <v>4</v>
      </c>
      <c r="H58">
        <v>4</v>
      </c>
      <c r="I58">
        <v>3</v>
      </c>
      <c r="J58">
        <v>3</v>
      </c>
      <c r="K58">
        <v>7</v>
      </c>
      <c r="L58" s="6">
        <f t="shared" si="0"/>
        <v>40</v>
      </c>
    </row>
    <row r="59" spans="1:12">
      <c r="A59" s="6" t="s">
        <v>16</v>
      </c>
      <c r="B59">
        <v>4</v>
      </c>
      <c r="C59">
        <v>3</v>
      </c>
      <c r="D59">
        <v>4</v>
      </c>
      <c r="E59">
        <v>4</v>
      </c>
      <c r="F59">
        <v>4</v>
      </c>
      <c r="G59">
        <v>5</v>
      </c>
      <c r="H59">
        <v>3</v>
      </c>
      <c r="I59">
        <v>3</v>
      </c>
      <c r="J59">
        <v>4</v>
      </c>
      <c r="K59">
        <v>7</v>
      </c>
      <c r="L59" s="6">
        <f t="shared" si="0"/>
        <v>41</v>
      </c>
    </row>
    <row r="60" spans="1:12">
      <c r="A60" s="6" t="s">
        <v>17</v>
      </c>
      <c r="B60">
        <v>4</v>
      </c>
      <c r="C60">
        <v>4</v>
      </c>
      <c r="D60">
        <v>3</v>
      </c>
      <c r="E60">
        <v>4</v>
      </c>
      <c r="F60">
        <v>4</v>
      </c>
      <c r="G60">
        <v>4</v>
      </c>
      <c r="H60">
        <v>3</v>
      </c>
      <c r="I60">
        <v>3</v>
      </c>
      <c r="J60">
        <v>4</v>
      </c>
      <c r="K60">
        <v>7</v>
      </c>
      <c r="L60" s="6">
        <f t="shared" si="0"/>
        <v>40</v>
      </c>
    </row>
    <row r="61" spans="1:12">
      <c r="A61" s="6" t="s">
        <v>18</v>
      </c>
      <c r="B61">
        <v>5</v>
      </c>
      <c r="C61">
        <v>4</v>
      </c>
      <c r="D61">
        <v>2</v>
      </c>
      <c r="E61">
        <v>4</v>
      </c>
      <c r="F61">
        <v>4</v>
      </c>
      <c r="G61">
        <v>5</v>
      </c>
      <c r="H61">
        <v>4</v>
      </c>
      <c r="I61">
        <v>4</v>
      </c>
      <c r="J61">
        <v>4</v>
      </c>
      <c r="K61">
        <v>8</v>
      </c>
      <c r="L61" s="6">
        <f t="shared" si="0"/>
        <v>44</v>
      </c>
    </row>
    <row r="62" spans="1:12">
      <c r="A62" s="5" t="s">
        <v>28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9"/>
    </row>
    <row r="63" spans="1:12">
      <c r="A63" s="6" t="s">
        <v>13</v>
      </c>
      <c r="B63">
        <v>3</v>
      </c>
      <c r="C63">
        <v>4</v>
      </c>
      <c r="D63">
        <v>4</v>
      </c>
      <c r="E63">
        <v>4</v>
      </c>
      <c r="F63">
        <v>4</v>
      </c>
      <c r="G63">
        <v>4</v>
      </c>
      <c r="H63">
        <v>3</v>
      </c>
      <c r="I63">
        <v>3</v>
      </c>
      <c r="J63">
        <v>5</v>
      </c>
      <c r="K63">
        <v>7</v>
      </c>
      <c r="L63" s="6">
        <f t="shared" si="0"/>
        <v>41</v>
      </c>
    </row>
    <row r="64" spans="1:12">
      <c r="A64" s="6" t="s">
        <v>15</v>
      </c>
      <c r="B64">
        <v>3</v>
      </c>
      <c r="C64">
        <v>3</v>
      </c>
      <c r="D64">
        <v>4</v>
      </c>
      <c r="E64">
        <v>3</v>
      </c>
      <c r="F64">
        <v>4</v>
      </c>
      <c r="G64">
        <v>4</v>
      </c>
      <c r="H64">
        <v>3</v>
      </c>
      <c r="I64">
        <v>3</v>
      </c>
      <c r="J64">
        <v>4</v>
      </c>
      <c r="K64">
        <v>5</v>
      </c>
      <c r="L64" s="6">
        <f t="shared" si="0"/>
        <v>36</v>
      </c>
    </row>
    <row r="65" spans="1:12">
      <c r="A65" s="6" t="s">
        <v>16</v>
      </c>
      <c r="B65">
        <v>3</v>
      </c>
      <c r="C65">
        <v>3</v>
      </c>
      <c r="D65">
        <v>3</v>
      </c>
      <c r="E65">
        <v>3</v>
      </c>
      <c r="F65">
        <v>4</v>
      </c>
      <c r="G65">
        <v>3</v>
      </c>
      <c r="H65">
        <v>3</v>
      </c>
      <c r="I65">
        <v>3</v>
      </c>
      <c r="J65">
        <v>3</v>
      </c>
      <c r="K65">
        <v>4</v>
      </c>
      <c r="L65" s="6">
        <f t="shared" si="0"/>
        <v>32</v>
      </c>
    </row>
    <row r="66" spans="1:12">
      <c r="A66" s="6" t="s">
        <v>17</v>
      </c>
      <c r="B66">
        <v>4</v>
      </c>
      <c r="C66">
        <v>4</v>
      </c>
      <c r="D66">
        <v>4</v>
      </c>
      <c r="E66">
        <v>4</v>
      </c>
      <c r="F66">
        <v>3</v>
      </c>
      <c r="G66">
        <v>4</v>
      </c>
      <c r="H66">
        <v>4</v>
      </c>
      <c r="I66">
        <v>4</v>
      </c>
      <c r="J66">
        <v>4</v>
      </c>
      <c r="K66">
        <v>7</v>
      </c>
      <c r="L66" s="6">
        <f t="shared" si="0"/>
        <v>42</v>
      </c>
    </row>
    <row r="67" spans="1:12">
      <c r="A67" s="6" t="s">
        <v>18</v>
      </c>
      <c r="B67">
        <v>3</v>
      </c>
      <c r="C67">
        <v>2</v>
      </c>
      <c r="D67">
        <v>4</v>
      </c>
      <c r="E67">
        <v>2</v>
      </c>
      <c r="F67">
        <v>4</v>
      </c>
      <c r="G67">
        <v>5</v>
      </c>
      <c r="H67">
        <v>4</v>
      </c>
      <c r="I67">
        <v>4</v>
      </c>
      <c r="J67">
        <v>4</v>
      </c>
      <c r="K67">
        <v>6</v>
      </c>
      <c r="L67" s="6">
        <f t="shared" si="0"/>
        <v>38</v>
      </c>
    </row>
    <row r="68" spans="1:12">
      <c r="A68" s="5" t="s">
        <v>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9"/>
    </row>
    <row r="69" spans="1:12">
      <c r="A69" s="6" t="s">
        <v>13</v>
      </c>
      <c r="B69">
        <v>4</v>
      </c>
      <c r="C69">
        <v>3</v>
      </c>
      <c r="D69">
        <v>4</v>
      </c>
      <c r="E69">
        <v>3</v>
      </c>
      <c r="F69">
        <v>4</v>
      </c>
      <c r="G69">
        <v>5</v>
      </c>
      <c r="H69">
        <v>3</v>
      </c>
      <c r="I69">
        <v>3</v>
      </c>
      <c r="J69">
        <v>3</v>
      </c>
      <c r="K69">
        <v>6</v>
      </c>
      <c r="L69" s="6">
        <f t="shared" ref="L69:L72" si="1">SUM(B69:K69)</f>
        <v>38</v>
      </c>
    </row>
    <row r="70" spans="1:12">
      <c r="A70" s="6" t="s">
        <v>15</v>
      </c>
      <c r="B70">
        <v>4</v>
      </c>
      <c r="C70">
        <v>4</v>
      </c>
      <c r="D70">
        <v>4</v>
      </c>
      <c r="E70">
        <v>3</v>
      </c>
      <c r="F70">
        <v>4</v>
      </c>
      <c r="G70">
        <v>4</v>
      </c>
      <c r="H70">
        <v>3</v>
      </c>
      <c r="I70">
        <v>3</v>
      </c>
      <c r="J70">
        <v>3</v>
      </c>
      <c r="K70">
        <v>6</v>
      </c>
      <c r="L70" s="6">
        <f t="shared" si="1"/>
        <v>38</v>
      </c>
    </row>
    <row r="71" spans="1:12">
      <c r="A71" s="6" t="s">
        <v>16</v>
      </c>
      <c r="B71">
        <v>3</v>
      </c>
      <c r="C71">
        <v>4</v>
      </c>
      <c r="D71">
        <v>3</v>
      </c>
      <c r="E71">
        <v>3</v>
      </c>
      <c r="F71">
        <v>4</v>
      </c>
      <c r="G71">
        <v>4</v>
      </c>
      <c r="H71">
        <v>4</v>
      </c>
      <c r="I71">
        <v>3</v>
      </c>
      <c r="J71">
        <v>3</v>
      </c>
      <c r="K71">
        <v>5</v>
      </c>
      <c r="L71" s="6">
        <f t="shared" si="1"/>
        <v>36</v>
      </c>
    </row>
    <row r="72" spans="1:12">
      <c r="A72" s="6" t="s">
        <v>17</v>
      </c>
      <c r="B72">
        <v>3</v>
      </c>
      <c r="C72">
        <v>3</v>
      </c>
      <c r="D72">
        <v>3</v>
      </c>
      <c r="E72">
        <v>3</v>
      </c>
      <c r="F72">
        <v>4</v>
      </c>
      <c r="G72">
        <v>4</v>
      </c>
      <c r="H72">
        <v>4</v>
      </c>
      <c r="I72">
        <v>3</v>
      </c>
      <c r="J72">
        <v>3</v>
      </c>
      <c r="K72">
        <v>5</v>
      </c>
      <c r="L72" s="6">
        <f t="shared" si="1"/>
        <v>35</v>
      </c>
    </row>
    <row r="73" spans="1:12">
      <c r="A73" t="s">
        <v>18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8</v>
      </c>
      <c r="L73" s="6">
        <f>SUM(B73:K73)</f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6909-4746-44AF-ACE5-F170FEBB640E}">
  <dimension ref="A1:N73"/>
  <sheetViews>
    <sheetView workbookViewId="0"/>
  </sheetViews>
  <sheetFormatPr defaultRowHeight="15"/>
  <cols>
    <col min="1" max="1" width="79.5703125" customWidth="1"/>
    <col min="2" max="2" width="8.42578125" customWidth="1"/>
    <col min="3" max="3" width="7.42578125" customWidth="1"/>
    <col min="4" max="4" width="10.42578125" customWidth="1"/>
    <col min="5" max="5" width="12.7109375" customWidth="1"/>
    <col min="7" max="7" width="11.85546875" customWidth="1"/>
    <col min="8" max="8" width="12.140625" customWidth="1"/>
    <col min="9" max="9" width="13.28515625" customWidth="1"/>
    <col min="10" max="10" width="5.85546875" customWidth="1"/>
    <col min="11" max="11" width="13.140625" customWidth="1"/>
    <col min="14" max="14" width="18.28515625" customWidth="1"/>
  </cols>
  <sheetData>
    <row r="1" spans="1:14">
      <c r="A1" s="7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10" t="s">
        <v>10</v>
      </c>
    </row>
    <row r="2" spans="1:14">
      <c r="A2" s="5" t="s">
        <v>11</v>
      </c>
      <c r="B2" s="3"/>
      <c r="C2" s="3"/>
      <c r="D2" s="3"/>
      <c r="E2" s="2"/>
      <c r="F2" s="3"/>
      <c r="G2" s="3"/>
      <c r="H2" s="3"/>
      <c r="I2" s="3"/>
      <c r="J2" s="3"/>
      <c r="K2" s="3"/>
      <c r="L2" s="9"/>
      <c r="N2" s="1" t="s">
        <v>12</v>
      </c>
    </row>
    <row r="3" spans="1:14">
      <c r="A3" s="6" t="s">
        <v>13</v>
      </c>
      <c r="B3">
        <v>4</v>
      </c>
      <c r="C3">
        <v>3</v>
      </c>
      <c r="D3">
        <v>3</v>
      </c>
      <c r="E3">
        <v>4</v>
      </c>
      <c r="F3">
        <v>5</v>
      </c>
      <c r="G3">
        <v>3</v>
      </c>
      <c r="H3">
        <v>4</v>
      </c>
      <c r="I3">
        <v>2</v>
      </c>
      <c r="J3">
        <v>4</v>
      </c>
      <c r="K3">
        <v>5</v>
      </c>
      <c r="L3" s="6">
        <f>SUM(B3:K3)</f>
        <v>37</v>
      </c>
      <c r="N3" s="1" t="s">
        <v>14</v>
      </c>
    </row>
    <row r="4" spans="1:14">
      <c r="A4" s="6" t="s">
        <v>15</v>
      </c>
      <c r="B4">
        <v>5</v>
      </c>
      <c r="C4">
        <v>3</v>
      </c>
      <c r="D4">
        <v>3</v>
      </c>
      <c r="E4">
        <v>2</v>
      </c>
      <c r="F4">
        <v>4</v>
      </c>
      <c r="G4">
        <v>4</v>
      </c>
      <c r="H4">
        <v>3</v>
      </c>
      <c r="I4">
        <v>5</v>
      </c>
      <c r="J4">
        <v>4</v>
      </c>
      <c r="K4">
        <v>7</v>
      </c>
      <c r="L4" s="6">
        <f t="shared" ref="L4:L67" si="0">SUM(B4:K4)</f>
        <v>40</v>
      </c>
    </row>
    <row r="5" spans="1:14">
      <c r="A5" s="6" t="s">
        <v>16</v>
      </c>
      <c r="B5">
        <v>5</v>
      </c>
      <c r="C5">
        <v>3</v>
      </c>
      <c r="D5">
        <v>4</v>
      </c>
      <c r="E5">
        <v>3</v>
      </c>
      <c r="F5">
        <v>4</v>
      </c>
      <c r="G5">
        <v>4</v>
      </c>
      <c r="H5">
        <v>5</v>
      </c>
      <c r="I5">
        <v>5</v>
      </c>
      <c r="J5">
        <v>3</v>
      </c>
      <c r="K5">
        <v>7</v>
      </c>
      <c r="L5" s="6">
        <f t="shared" si="0"/>
        <v>43</v>
      </c>
    </row>
    <row r="6" spans="1:14">
      <c r="A6" s="6" t="s">
        <v>17</v>
      </c>
      <c r="B6">
        <v>5</v>
      </c>
      <c r="C6">
        <v>5</v>
      </c>
      <c r="D6">
        <v>3</v>
      </c>
      <c r="E6">
        <v>4</v>
      </c>
      <c r="F6">
        <v>4</v>
      </c>
      <c r="G6">
        <v>3</v>
      </c>
      <c r="H6">
        <v>4</v>
      </c>
      <c r="I6">
        <v>4</v>
      </c>
      <c r="J6">
        <v>4</v>
      </c>
      <c r="K6">
        <v>5</v>
      </c>
      <c r="L6" s="6">
        <f t="shared" si="0"/>
        <v>41</v>
      </c>
    </row>
    <row r="7" spans="1:14">
      <c r="A7" s="6" t="s">
        <v>18</v>
      </c>
      <c r="B7">
        <v>4</v>
      </c>
      <c r="C7">
        <v>4</v>
      </c>
      <c r="D7">
        <v>4</v>
      </c>
      <c r="E7">
        <v>4</v>
      </c>
      <c r="F7">
        <v>4</v>
      </c>
      <c r="G7">
        <v>3</v>
      </c>
      <c r="H7">
        <v>5</v>
      </c>
      <c r="I7">
        <v>5</v>
      </c>
      <c r="J7">
        <v>2</v>
      </c>
      <c r="K7">
        <v>4</v>
      </c>
      <c r="L7" s="6">
        <f t="shared" si="0"/>
        <v>39</v>
      </c>
    </row>
    <row r="8" spans="1:14">
      <c r="A8" s="5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9"/>
    </row>
    <row r="9" spans="1:14">
      <c r="A9" s="6" t="s">
        <v>13</v>
      </c>
      <c r="B9">
        <v>4</v>
      </c>
      <c r="C9">
        <v>3</v>
      </c>
      <c r="D9">
        <v>3</v>
      </c>
      <c r="E9">
        <v>4</v>
      </c>
      <c r="F9">
        <v>5</v>
      </c>
      <c r="G9">
        <v>4</v>
      </c>
      <c r="H9">
        <v>4</v>
      </c>
      <c r="I9">
        <v>5</v>
      </c>
      <c r="J9">
        <v>3</v>
      </c>
      <c r="K9">
        <v>5</v>
      </c>
      <c r="L9" s="6">
        <f t="shared" si="0"/>
        <v>40</v>
      </c>
    </row>
    <row r="10" spans="1:14">
      <c r="A10" s="6" t="s">
        <v>15</v>
      </c>
      <c r="B10">
        <v>3</v>
      </c>
      <c r="C10">
        <v>3</v>
      </c>
      <c r="D10">
        <v>2</v>
      </c>
      <c r="E10">
        <v>3</v>
      </c>
      <c r="F10">
        <v>4</v>
      </c>
      <c r="G10">
        <v>4</v>
      </c>
      <c r="H10">
        <v>3</v>
      </c>
      <c r="I10">
        <v>4</v>
      </c>
      <c r="J10">
        <v>2</v>
      </c>
      <c r="K10">
        <v>4</v>
      </c>
      <c r="L10" s="6">
        <f t="shared" si="0"/>
        <v>32</v>
      </c>
    </row>
    <row r="11" spans="1:14">
      <c r="A11" s="6" t="s">
        <v>16</v>
      </c>
      <c r="B11">
        <v>3</v>
      </c>
      <c r="C11">
        <v>2</v>
      </c>
      <c r="D11">
        <v>2</v>
      </c>
      <c r="E11">
        <v>2</v>
      </c>
      <c r="F11">
        <v>4</v>
      </c>
      <c r="G11">
        <v>4</v>
      </c>
      <c r="H11">
        <v>3</v>
      </c>
      <c r="I11">
        <v>3</v>
      </c>
      <c r="J11">
        <v>2</v>
      </c>
      <c r="K11">
        <v>4</v>
      </c>
      <c r="L11" s="6">
        <f t="shared" si="0"/>
        <v>29</v>
      </c>
    </row>
    <row r="12" spans="1:14">
      <c r="A12" s="6" t="s">
        <v>17</v>
      </c>
      <c r="B12">
        <v>4</v>
      </c>
      <c r="C12">
        <v>4</v>
      </c>
      <c r="D12">
        <v>3</v>
      </c>
      <c r="E12">
        <v>3</v>
      </c>
      <c r="F12">
        <v>3</v>
      </c>
      <c r="G12">
        <v>2</v>
      </c>
      <c r="H12">
        <v>3</v>
      </c>
      <c r="I12">
        <v>3</v>
      </c>
      <c r="J12">
        <v>2</v>
      </c>
      <c r="K12">
        <v>5</v>
      </c>
      <c r="L12" s="6">
        <f t="shared" si="0"/>
        <v>32</v>
      </c>
    </row>
    <row r="13" spans="1:14">
      <c r="A13" s="6" t="s">
        <v>18</v>
      </c>
      <c r="B13">
        <v>4</v>
      </c>
      <c r="C13">
        <v>4</v>
      </c>
      <c r="D13">
        <v>3</v>
      </c>
      <c r="E13">
        <v>4</v>
      </c>
      <c r="F13">
        <v>5</v>
      </c>
      <c r="G13">
        <v>4</v>
      </c>
      <c r="H13">
        <v>4</v>
      </c>
      <c r="I13">
        <v>5</v>
      </c>
      <c r="J13">
        <v>4</v>
      </c>
      <c r="K13">
        <v>7</v>
      </c>
      <c r="L13" s="6">
        <f t="shared" si="0"/>
        <v>44</v>
      </c>
    </row>
    <row r="14" spans="1:14">
      <c r="A14" s="5" t="s">
        <v>20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9"/>
    </row>
    <row r="15" spans="1:14">
      <c r="A15" s="6" t="s">
        <v>13</v>
      </c>
      <c r="B15">
        <v>3</v>
      </c>
      <c r="C15">
        <v>3</v>
      </c>
      <c r="D15">
        <v>4</v>
      </c>
      <c r="E15">
        <v>4</v>
      </c>
      <c r="F15">
        <v>5</v>
      </c>
      <c r="G15">
        <v>4</v>
      </c>
      <c r="H15">
        <v>2</v>
      </c>
      <c r="I15">
        <v>3</v>
      </c>
      <c r="J15">
        <v>4</v>
      </c>
      <c r="K15">
        <v>4</v>
      </c>
      <c r="L15" s="6">
        <f t="shared" si="0"/>
        <v>36</v>
      </c>
    </row>
    <row r="16" spans="1:14">
      <c r="A16" s="6" t="s">
        <v>15</v>
      </c>
      <c r="B16">
        <v>5</v>
      </c>
      <c r="C16">
        <v>4</v>
      </c>
      <c r="D16">
        <v>3</v>
      </c>
      <c r="E16">
        <v>3</v>
      </c>
      <c r="F16">
        <v>2</v>
      </c>
      <c r="G16">
        <v>4</v>
      </c>
      <c r="H16">
        <v>4</v>
      </c>
      <c r="I16">
        <v>4</v>
      </c>
      <c r="J16">
        <v>3</v>
      </c>
      <c r="K16">
        <v>5</v>
      </c>
      <c r="L16" s="6">
        <f t="shared" si="0"/>
        <v>37</v>
      </c>
    </row>
    <row r="17" spans="1:12">
      <c r="A17" s="6" t="s">
        <v>16</v>
      </c>
      <c r="B17">
        <v>2</v>
      </c>
      <c r="C17">
        <v>3</v>
      </c>
      <c r="D17">
        <v>4</v>
      </c>
      <c r="E17">
        <v>3</v>
      </c>
      <c r="F17">
        <v>4</v>
      </c>
      <c r="G17">
        <v>2</v>
      </c>
      <c r="H17">
        <v>2</v>
      </c>
      <c r="I17">
        <v>3</v>
      </c>
      <c r="J17">
        <v>4</v>
      </c>
      <c r="K17">
        <v>4</v>
      </c>
      <c r="L17" s="6">
        <f t="shared" si="0"/>
        <v>31</v>
      </c>
    </row>
    <row r="18" spans="1:12">
      <c r="A18" s="6" t="s">
        <v>17</v>
      </c>
      <c r="B18">
        <v>4</v>
      </c>
      <c r="C18">
        <v>3</v>
      </c>
      <c r="D18">
        <v>2</v>
      </c>
      <c r="E18">
        <v>2</v>
      </c>
      <c r="F18">
        <v>4</v>
      </c>
      <c r="G18">
        <v>4</v>
      </c>
      <c r="H18">
        <v>3</v>
      </c>
      <c r="I18">
        <v>3</v>
      </c>
      <c r="J18">
        <v>4</v>
      </c>
      <c r="K18">
        <v>5</v>
      </c>
      <c r="L18" s="6">
        <f t="shared" si="0"/>
        <v>34</v>
      </c>
    </row>
    <row r="19" spans="1:12">
      <c r="A19" s="6" t="s">
        <v>18</v>
      </c>
      <c r="B19">
        <v>1</v>
      </c>
      <c r="C19">
        <v>3</v>
      </c>
      <c r="D19">
        <v>4</v>
      </c>
      <c r="E19">
        <v>3</v>
      </c>
      <c r="F19">
        <v>5</v>
      </c>
      <c r="G19">
        <v>4</v>
      </c>
      <c r="H19">
        <v>5</v>
      </c>
      <c r="I19">
        <v>3</v>
      </c>
      <c r="J19">
        <v>4</v>
      </c>
      <c r="K19">
        <v>7</v>
      </c>
      <c r="L19" s="6">
        <f t="shared" si="0"/>
        <v>39</v>
      </c>
    </row>
    <row r="20" spans="1:12">
      <c r="A20" s="5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9"/>
    </row>
    <row r="21" spans="1:12">
      <c r="A21" s="6" t="s">
        <v>13</v>
      </c>
      <c r="B21">
        <v>1</v>
      </c>
      <c r="C21">
        <v>1</v>
      </c>
      <c r="D21">
        <v>3</v>
      </c>
      <c r="E21">
        <v>2</v>
      </c>
      <c r="F21">
        <v>4</v>
      </c>
      <c r="G21">
        <v>4</v>
      </c>
      <c r="H21">
        <v>4</v>
      </c>
      <c r="I21">
        <v>5</v>
      </c>
      <c r="J21">
        <v>3</v>
      </c>
      <c r="K21">
        <v>3</v>
      </c>
      <c r="L21" s="6">
        <f t="shared" si="0"/>
        <v>30</v>
      </c>
    </row>
    <row r="22" spans="1:12">
      <c r="A22" s="6" t="s">
        <v>15</v>
      </c>
      <c r="B22">
        <v>2</v>
      </c>
      <c r="C22">
        <v>1</v>
      </c>
      <c r="D22">
        <v>2</v>
      </c>
      <c r="E22">
        <v>3</v>
      </c>
      <c r="F22">
        <v>4</v>
      </c>
      <c r="G22">
        <v>3</v>
      </c>
      <c r="H22">
        <v>4</v>
      </c>
      <c r="I22">
        <v>3</v>
      </c>
      <c r="J22">
        <v>3</v>
      </c>
      <c r="K22">
        <v>4</v>
      </c>
      <c r="L22" s="6">
        <f t="shared" si="0"/>
        <v>29</v>
      </c>
    </row>
    <row r="23" spans="1:12">
      <c r="A23" s="6" t="s">
        <v>16</v>
      </c>
      <c r="B23">
        <v>4</v>
      </c>
      <c r="C23">
        <v>5</v>
      </c>
      <c r="D23">
        <v>4</v>
      </c>
      <c r="E23">
        <v>4</v>
      </c>
      <c r="F23">
        <v>5</v>
      </c>
      <c r="G23">
        <v>4</v>
      </c>
      <c r="H23">
        <v>3</v>
      </c>
      <c r="I23">
        <v>2</v>
      </c>
      <c r="J23">
        <v>3</v>
      </c>
      <c r="K23">
        <v>7</v>
      </c>
      <c r="L23" s="6">
        <f t="shared" si="0"/>
        <v>41</v>
      </c>
    </row>
    <row r="24" spans="1:12">
      <c r="A24" s="6" t="s">
        <v>17</v>
      </c>
      <c r="B24">
        <v>5</v>
      </c>
      <c r="C24">
        <v>4</v>
      </c>
      <c r="D24">
        <v>4</v>
      </c>
      <c r="E24">
        <v>3</v>
      </c>
      <c r="F24">
        <v>4</v>
      </c>
      <c r="G24">
        <v>4</v>
      </c>
      <c r="H24">
        <v>5</v>
      </c>
      <c r="I24">
        <v>5</v>
      </c>
      <c r="J24">
        <v>4</v>
      </c>
      <c r="K24">
        <v>8</v>
      </c>
      <c r="L24" s="6">
        <f t="shared" si="0"/>
        <v>46</v>
      </c>
    </row>
    <row r="25" spans="1:12">
      <c r="A25" s="6" t="s">
        <v>18</v>
      </c>
      <c r="B25">
        <v>3</v>
      </c>
      <c r="C25">
        <v>4</v>
      </c>
      <c r="D25">
        <v>4</v>
      </c>
      <c r="E25">
        <v>3</v>
      </c>
      <c r="F25">
        <v>4</v>
      </c>
      <c r="G25">
        <v>5</v>
      </c>
      <c r="H25">
        <v>3</v>
      </c>
      <c r="I25">
        <v>4</v>
      </c>
      <c r="J25">
        <v>4</v>
      </c>
      <c r="K25">
        <v>6</v>
      </c>
      <c r="L25" s="6">
        <f t="shared" si="0"/>
        <v>40</v>
      </c>
    </row>
    <row r="26" spans="1:12">
      <c r="A26" s="5" t="s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9"/>
    </row>
    <row r="27" spans="1:12">
      <c r="A27" s="6" t="s">
        <v>13</v>
      </c>
      <c r="B27">
        <v>4</v>
      </c>
      <c r="C27">
        <v>5</v>
      </c>
      <c r="D27">
        <v>3</v>
      </c>
      <c r="E27">
        <v>2</v>
      </c>
      <c r="F27">
        <v>4</v>
      </c>
      <c r="G27">
        <v>3</v>
      </c>
      <c r="H27">
        <v>4</v>
      </c>
      <c r="I27">
        <v>4</v>
      </c>
      <c r="J27">
        <v>4</v>
      </c>
      <c r="K27">
        <v>7</v>
      </c>
      <c r="L27" s="6">
        <f t="shared" si="0"/>
        <v>40</v>
      </c>
    </row>
    <row r="28" spans="1:12">
      <c r="A28" s="6" t="s">
        <v>15</v>
      </c>
      <c r="B28">
        <v>5</v>
      </c>
      <c r="C28">
        <v>4</v>
      </c>
      <c r="D28">
        <v>3</v>
      </c>
      <c r="E28">
        <v>4</v>
      </c>
      <c r="F28">
        <v>5</v>
      </c>
      <c r="G28">
        <v>5</v>
      </c>
      <c r="H28">
        <v>4</v>
      </c>
      <c r="I28">
        <v>3</v>
      </c>
      <c r="J28">
        <v>3</v>
      </c>
      <c r="K28">
        <v>6</v>
      </c>
      <c r="L28" s="6">
        <f t="shared" si="0"/>
        <v>42</v>
      </c>
    </row>
    <row r="29" spans="1:12">
      <c r="A29" s="6" t="s">
        <v>16</v>
      </c>
      <c r="B29">
        <v>2</v>
      </c>
      <c r="C29">
        <v>2</v>
      </c>
      <c r="D29">
        <v>1</v>
      </c>
      <c r="E29">
        <v>4</v>
      </c>
      <c r="F29">
        <v>4</v>
      </c>
      <c r="G29">
        <v>3</v>
      </c>
      <c r="H29">
        <v>2</v>
      </c>
      <c r="I29">
        <v>3</v>
      </c>
      <c r="J29">
        <v>4</v>
      </c>
      <c r="K29">
        <v>4</v>
      </c>
      <c r="L29" s="6">
        <f t="shared" si="0"/>
        <v>29</v>
      </c>
    </row>
    <row r="30" spans="1:12">
      <c r="A30" s="6" t="s">
        <v>17</v>
      </c>
      <c r="B30">
        <v>4</v>
      </c>
      <c r="C30">
        <v>4</v>
      </c>
      <c r="D30">
        <v>2</v>
      </c>
      <c r="E30">
        <v>4</v>
      </c>
      <c r="F30">
        <v>5</v>
      </c>
      <c r="G30">
        <v>4</v>
      </c>
      <c r="H30">
        <v>4</v>
      </c>
      <c r="I30">
        <v>3</v>
      </c>
      <c r="J30">
        <v>2</v>
      </c>
      <c r="K30">
        <v>5</v>
      </c>
      <c r="L30" s="6">
        <f t="shared" si="0"/>
        <v>37</v>
      </c>
    </row>
    <row r="31" spans="1:12">
      <c r="A31" s="6" t="s">
        <v>18</v>
      </c>
      <c r="B31">
        <v>5</v>
      </c>
      <c r="C31">
        <v>5</v>
      </c>
      <c r="D31">
        <v>4</v>
      </c>
      <c r="E31">
        <v>4</v>
      </c>
      <c r="F31">
        <v>3</v>
      </c>
      <c r="G31">
        <v>5</v>
      </c>
      <c r="H31">
        <v>4</v>
      </c>
      <c r="I31">
        <v>5</v>
      </c>
      <c r="J31">
        <v>3</v>
      </c>
      <c r="K31">
        <v>7</v>
      </c>
      <c r="L31" s="6">
        <f t="shared" si="0"/>
        <v>45</v>
      </c>
    </row>
    <row r="32" spans="1:12">
      <c r="A32" s="5" t="s">
        <v>23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9"/>
    </row>
    <row r="33" spans="1:12">
      <c r="A33" s="6" t="s">
        <v>13</v>
      </c>
      <c r="B33">
        <v>2</v>
      </c>
      <c r="C33">
        <v>1</v>
      </c>
      <c r="D33">
        <v>3</v>
      </c>
      <c r="E33">
        <v>3</v>
      </c>
      <c r="F33">
        <v>4</v>
      </c>
      <c r="G33">
        <v>2</v>
      </c>
      <c r="H33">
        <v>4</v>
      </c>
      <c r="I33">
        <v>4</v>
      </c>
      <c r="J33">
        <v>3</v>
      </c>
      <c r="K33">
        <v>4</v>
      </c>
      <c r="L33" s="6">
        <f t="shared" si="0"/>
        <v>30</v>
      </c>
    </row>
    <row r="34" spans="1:12">
      <c r="A34" s="6" t="s">
        <v>15</v>
      </c>
      <c r="B34">
        <v>1</v>
      </c>
      <c r="C34">
        <v>1</v>
      </c>
      <c r="D34">
        <v>2</v>
      </c>
      <c r="E34">
        <v>2</v>
      </c>
      <c r="F34">
        <v>4</v>
      </c>
      <c r="G34">
        <v>5</v>
      </c>
      <c r="H34">
        <v>4</v>
      </c>
      <c r="I34">
        <v>4</v>
      </c>
      <c r="J34">
        <v>3</v>
      </c>
      <c r="K34">
        <v>3</v>
      </c>
      <c r="L34" s="6">
        <f t="shared" si="0"/>
        <v>29</v>
      </c>
    </row>
    <row r="35" spans="1:12">
      <c r="A35" s="6" t="s">
        <v>16</v>
      </c>
      <c r="B35">
        <v>5</v>
      </c>
      <c r="C35">
        <v>5</v>
      </c>
      <c r="D35">
        <v>4</v>
      </c>
      <c r="E35">
        <v>5</v>
      </c>
      <c r="F35">
        <v>5</v>
      </c>
      <c r="G35">
        <v>4</v>
      </c>
      <c r="H35">
        <v>3</v>
      </c>
      <c r="I35">
        <v>4</v>
      </c>
      <c r="J35">
        <v>3</v>
      </c>
      <c r="K35">
        <v>8</v>
      </c>
      <c r="L35" s="6">
        <f t="shared" si="0"/>
        <v>46</v>
      </c>
    </row>
    <row r="36" spans="1:12">
      <c r="A36" s="6" t="s">
        <v>17</v>
      </c>
      <c r="B36">
        <v>3</v>
      </c>
      <c r="C36">
        <v>4</v>
      </c>
      <c r="D36">
        <v>4</v>
      </c>
      <c r="E36">
        <v>3</v>
      </c>
      <c r="F36">
        <v>4</v>
      </c>
      <c r="G36">
        <v>5</v>
      </c>
      <c r="H36">
        <v>4</v>
      </c>
      <c r="I36">
        <v>3</v>
      </c>
      <c r="J36">
        <v>4</v>
      </c>
      <c r="K36">
        <v>4</v>
      </c>
      <c r="L36" s="6">
        <f t="shared" si="0"/>
        <v>38</v>
      </c>
    </row>
    <row r="37" spans="1:12">
      <c r="A37" s="6" t="s">
        <v>18</v>
      </c>
      <c r="B37">
        <v>5</v>
      </c>
      <c r="C37">
        <v>4</v>
      </c>
      <c r="D37">
        <v>4</v>
      </c>
      <c r="E37">
        <v>5</v>
      </c>
      <c r="F37">
        <v>5</v>
      </c>
      <c r="G37">
        <v>4</v>
      </c>
      <c r="H37">
        <v>3</v>
      </c>
      <c r="I37">
        <v>2</v>
      </c>
      <c r="J37">
        <v>4</v>
      </c>
      <c r="K37">
        <v>7</v>
      </c>
      <c r="L37" s="6">
        <f t="shared" si="0"/>
        <v>43</v>
      </c>
    </row>
    <row r="38" spans="1:12">
      <c r="A38" s="5" t="s">
        <v>24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9"/>
    </row>
    <row r="39" spans="1:12">
      <c r="A39" s="6" t="s">
        <v>13</v>
      </c>
      <c r="B39">
        <v>5</v>
      </c>
      <c r="C39">
        <v>5</v>
      </c>
      <c r="D39">
        <v>5</v>
      </c>
      <c r="E39">
        <v>4</v>
      </c>
      <c r="F39">
        <v>5</v>
      </c>
      <c r="G39">
        <v>5</v>
      </c>
      <c r="H39">
        <v>4</v>
      </c>
      <c r="I39">
        <v>4</v>
      </c>
      <c r="J39">
        <v>3</v>
      </c>
      <c r="K39">
        <v>8</v>
      </c>
      <c r="L39" s="6">
        <f t="shared" si="0"/>
        <v>48</v>
      </c>
    </row>
    <row r="40" spans="1:12">
      <c r="A40" s="6" t="s">
        <v>15</v>
      </c>
      <c r="B40">
        <v>5</v>
      </c>
      <c r="C40">
        <v>5</v>
      </c>
      <c r="D40">
        <v>4</v>
      </c>
      <c r="E40">
        <v>5</v>
      </c>
      <c r="F40">
        <v>4</v>
      </c>
      <c r="G40">
        <v>3</v>
      </c>
      <c r="H40">
        <v>5</v>
      </c>
      <c r="I40">
        <v>5</v>
      </c>
      <c r="J40">
        <v>4</v>
      </c>
      <c r="K40">
        <v>9</v>
      </c>
      <c r="L40" s="6">
        <f t="shared" si="0"/>
        <v>49</v>
      </c>
    </row>
    <row r="41" spans="1:12">
      <c r="A41" s="6" t="s">
        <v>16</v>
      </c>
      <c r="B41">
        <v>4</v>
      </c>
      <c r="C41">
        <v>5</v>
      </c>
      <c r="D41">
        <v>4</v>
      </c>
      <c r="E41">
        <v>4</v>
      </c>
      <c r="F41">
        <v>4</v>
      </c>
      <c r="G41">
        <v>5</v>
      </c>
      <c r="H41">
        <v>4</v>
      </c>
      <c r="I41">
        <v>5</v>
      </c>
      <c r="J41">
        <v>4</v>
      </c>
      <c r="K41">
        <v>8</v>
      </c>
      <c r="L41" s="6">
        <f t="shared" si="0"/>
        <v>47</v>
      </c>
    </row>
    <row r="42" spans="1:12">
      <c r="A42" s="6" t="s">
        <v>17</v>
      </c>
      <c r="B42">
        <v>4</v>
      </c>
      <c r="C42">
        <v>5</v>
      </c>
      <c r="D42">
        <v>3</v>
      </c>
      <c r="E42">
        <v>5</v>
      </c>
      <c r="F42">
        <v>4</v>
      </c>
      <c r="G42">
        <v>5</v>
      </c>
      <c r="H42">
        <v>4</v>
      </c>
      <c r="I42">
        <v>4</v>
      </c>
      <c r="J42">
        <v>3</v>
      </c>
      <c r="K42">
        <v>7</v>
      </c>
      <c r="L42" s="6">
        <f t="shared" si="0"/>
        <v>44</v>
      </c>
    </row>
    <row r="43" spans="1:12">
      <c r="A43" s="6" t="s">
        <v>18</v>
      </c>
      <c r="B43">
        <v>5</v>
      </c>
      <c r="C43">
        <v>4</v>
      </c>
      <c r="D43">
        <v>4</v>
      </c>
      <c r="E43">
        <v>5</v>
      </c>
      <c r="F43">
        <v>5</v>
      </c>
      <c r="G43">
        <v>4</v>
      </c>
      <c r="H43">
        <v>4</v>
      </c>
      <c r="I43">
        <v>3</v>
      </c>
      <c r="J43">
        <v>4</v>
      </c>
      <c r="K43">
        <v>7</v>
      </c>
      <c r="L43" s="6">
        <f t="shared" si="0"/>
        <v>45</v>
      </c>
    </row>
    <row r="44" spans="1:12">
      <c r="A44" s="5" t="s">
        <v>25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9"/>
    </row>
    <row r="45" spans="1:12">
      <c r="A45" s="6" t="s">
        <v>13</v>
      </c>
      <c r="B45">
        <v>5</v>
      </c>
      <c r="C45">
        <v>4</v>
      </c>
      <c r="D45">
        <v>3</v>
      </c>
      <c r="E45">
        <v>4</v>
      </c>
      <c r="F45">
        <v>5</v>
      </c>
      <c r="G45">
        <v>3</v>
      </c>
      <c r="H45">
        <v>4</v>
      </c>
      <c r="I45">
        <v>5</v>
      </c>
      <c r="J45">
        <v>4</v>
      </c>
      <c r="K45">
        <v>7</v>
      </c>
      <c r="L45" s="6">
        <f t="shared" si="0"/>
        <v>44</v>
      </c>
    </row>
    <row r="46" spans="1:12">
      <c r="A46" s="6" t="s">
        <v>15</v>
      </c>
      <c r="B46">
        <v>5</v>
      </c>
      <c r="C46">
        <v>4</v>
      </c>
      <c r="D46">
        <v>3</v>
      </c>
      <c r="E46">
        <v>4</v>
      </c>
      <c r="F46">
        <v>5</v>
      </c>
      <c r="G46">
        <v>4</v>
      </c>
      <c r="H46">
        <v>3</v>
      </c>
      <c r="I46">
        <v>4</v>
      </c>
      <c r="J46">
        <v>4</v>
      </c>
      <c r="K46">
        <v>6</v>
      </c>
      <c r="L46" s="6">
        <f t="shared" si="0"/>
        <v>42</v>
      </c>
    </row>
    <row r="47" spans="1:12">
      <c r="A47" s="6" t="s">
        <v>16</v>
      </c>
      <c r="B47">
        <v>4</v>
      </c>
      <c r="C47">
        <v>3</v>
      </c>
      <c r="D47">
        <v>4</v>
      </c>
      <c r="E47">
        <v>5</v>
      </c>
      <c r="F47">
        <v>4</v>
      </c>
      <c r="G47">
        <v>4</v>
      </c>
      <c r="H47">
        <v>5</v>
      </c>
      <c r="I47">
        <v>4</v>
      </c>
      <c r="J47">
        <v>3</v>
      </c>
      <c r="K47">
        <v>5</v>
      </c>
      <c r="L47" s="6">
        <f t="shared" si="0"/>
        <v>41</v>
      </c>
    </row>
    <row r="48" spans="1:12">
      <c r="A48" s="6" t="s">
        <v>17</v>
      </c>
      <c r="B48">
        <v>5</v>
      </c>
      <c r="C48">
        <v>5</v>
      </c>
      <c r="D48">
        <v>5</v>
      </c>
      <c r="E48">
        <v>4</v>
      </c>
      <c r="F48">
        <v>4</v>
      </c>
      <c r="G48">
        <v>5</v>
      </c>
      <c r="H48">
        <v>4</v>
      </c>
      <c r="I48">
        <v>4</v>
      </c>
      <c r="J48">
        <v>5</v>
      </c>
      <c r="K48">
        <v>8</v>
      </c>
      <c r="L48" s="6">
        <f t="shared" si="0"/>
        <v>49</v>
      </c>
    </row>
    <row r="49" spans="1:12">
      <c r="A49" s="6" t="s">
        <v>18</v>
      </c>
      <c r="B49">
        <v>4</v>
      </c>
      <c r="C49">
        <v>5</v>
      </c>
      <c r="D49">
        <v>4</v>
      </c>
      <c r="E49">
        <v>5</v>
      </c>
      <c r="F49">
        <v>4</v>
      </c>
      <c r="G49">
        <v>4</v>
      </c>
      <c r="H49">
        <v>5</v>
      </c>
      <c r="I49">
        <v>3</v>
      </c>
      <c r="J49">
        <v>4</v>
      </c>
      <c r="K49">
        <v>6</v>
      </c>
      <c r="L49" s="6">
        <f t="shared" si="0"/>
        <v>44</v>
      </c>
    </row>
    <row r="50" spans="1:12">
      <c r="A50" s="5" t="s">
        <v>26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9"/>
    </row>
    <row r="51" spans="1:12">
      <c r="A51" s="6" t="s">
        <v>13</v>
      </c>
      <c r="B51">
        <v>4</v>
      </c>
      <c r="C51">
        <v>5</v>
      </c>
      <c r="D51">
        <v>5</v>
      </c>
      <c r="E51">
        <v>4</v>
      </c>
      <c r="F51">
        <v>5</v>
      </c>
      <c r="G51">
        <v>4</v>
      </c>
      <c r="H51">
        <v>2</v>
      </c>
      <c r="I51">
        <v>3</v>
      </c>
      <c r="J51">
        <v>4</v>
      </c>
      <c r="K51">
        <v>7</v>
      </c>
      <c r="L51" s="6">
        <f t="shared" si="0"/>
        <v>43</v>
      </c>
    </row>
    <row r="52" spans="1:12">
      <c r="A52" s="6" t="s">
        <v>15</v>
      </c>
      <c r="B52">
        <v>5</v>
      </c>
      <c r="C52">
        <v>4</v>
      </c>
      <c r="D52">
        <v>4</v>
      </c>
      <c r="E52">
        <v>5</v>
      </c>
      <c r="F52">
        <v>4</v>
      </c>
      <c r="G52">
        <v>3</v>
      </c>
      <c r="H52">
        <v>3</v>
      </c>
      <c r="I52">
        <v>4</v>
      </c>
      <c r="J52">
        <v>5</v>
      </c>
      <c r="K52">
        <v>6</v>
      </c>
      <c r="L52" s="6">
        <f t="shared" si="0"/>
        <v>43</v>
      </c>
    </row>
    <row r="53" spans="1:12">
      <c r="A53" s="6" t="s">
        <v>16</v>
      </c>
      <c r="B53">
        <v>4</v>
      </c>
      <c r="C53">
        <v>5</v>
      </c>
      <c r="D53">
        <v>4</v>
      </c>
      <c r="E53">
        <v>4</v>
      </c>
      <c r="F53">
        <v>5</v>
      </c>
      <c r="G53">
        <v>4</v>
      </c>
      <c r="H53">
        <v>3</v>
      </c>
      <c r="I53">
        <v>3</v>
      </c>
      <c r="J53">
        <v>4</v>
      </c>
      <c r="K53">
        <v>6</v>
      </c>
      <c r="L53" s="6">
        <f t="shared" si="0"/>
        <v>42</v>
      </c>
    </row>
    <row r="54" spans="1:12">
      <c r="A54" s="6" t="s">
        <v>17</v>
      </c>
      <c r="B54">
        <v>5</v>
      </c>
      <c r="C54">
        <v>5</v>
      </c>
      <c r="D54">
        <v>5</v>
      </c>
      <c r="E54">
        <v>4</v>
      </c>
      <c r="F54">
        <v>4</v>
      </c>
      <c r="G54">
        <v>5</v>
      </c>
      <c r="H54">
        <v>2</v>
      </c>
      <c r="I54">
        <v>3</v>
      </c>
      <c r="J54">
        <v>4</v>
      </c>
      <c r="K54">
        <v>8</v>
      </c>
      <c r="L54" s="6">
        <f t="shared" si="0"/>
        <v>45</v>
      </c>
    </row>
    <row r="55" spans="1:12">
      <c r="A55" s="6" t="s">
        <v>18</v>
      </c>
      <c r="B55">
        <v>4</v>
      </c>
      <c r="C55">
        <v>5</v>
      </c>
      <c r="D55">
        <v>5</v>
      </c>
      <c r="E55">
        <v>5</v>
      </c>
      <c r="F55">
        <v>5</v>
      </c>
      <c r="G55">
        <v>4</v>
      </c>
      <c r="H55">
        <v>3</v>
      </c>
      <c r="I55">
        <v>4</v>
      </c>
      <c r="J55">
        <v>5</v>
      </c>
      <c r="K55">
        <v>7</v>
      </c>
      <c r="L55" s="6">
        <f t="shared" si="0"/>
        <v>47</v>
      </c>
    </row>
    <row r="56" spans="1:12">
      <c r="A56" s="5" t="s">
        <v>27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9"/>
    </row>
    <row r="57" spans="1:12">
      <c r="A57" s="6" t="s">
        <v>13</v>
      </c>
      <c r="B57">
        <v>5</v>
      </c>
      <c r="C57">
        <v>4</v>
      </c>
      <c r="D57">
        <v>4</v>
      </c>
      <c r="E57">
        <v>5</v>
      </c>
      <c r="F57">
        <v>5</v>
      </c>
      <c r="G57">
        <v>4</v>
      </c>
      <c r="H57">
        <v>3</v>
      </c>
      <c r="I57">
        <v>4</v>
      </c>
      <c r="J57">
        <v>5</v>
      </c>
      <c r="K57">
        <v>8</v>
      </c>
      <c r="L57" s="6">
        <f t="shared" si="0"/>
        <v>47</v>
      </c>
    </row>
    <row r="58" spans="1:12">
      <c r="A58" s="6" t="s">
        <v>15</v>
      </c>
      <c r="B58">
        <v>4</v>
      </c>
      <c r="C58">
        <v>5</v>
      </c>
      <c r="D58">
        <v>4</v>
      </c>
      <c r="E58">
        <v>4</v>
      </c>
      <c r="F58">
        <v>4</v>
      </c>
      <c r="G58">
        <v>4</v>
      </c>
      <c r="H58">
        <v>2</v>
      </c>
      <c r="I58">
        <v>3</v>
      </c>
      <c r="J58">
        <v>4</v>
      </c>
      <c r="K58">
        <v>7</v>
      </c>
      <c r="L58" s="6">
        <f t="shared" si="0"/>
        <v>41</v>
      </c>
    </row>
    <row r="59" spans="1:12">
      <c r="A59" s="6" t="s">
        <v>16</v>
      </c>
      <c r="B59">
        <v>4</v>
      </c>
      <c r="C59">
        <v>4</v>
      </c>
      <c r="D59">
        <v>4</v>
      </c>
      <c r="E59">
        <v>5</v>
      </c>
      <c r="F59">
        <v>5</v>
      </c>
      <c r="G59">
        <v>4</v>
      </c>
      <c r="H59">
        <v>3</v>
      </c>
      <c r="I59">
        <v>4</v>
      </c>
      <c r="J59">
        <v>5</v>
      </c>
      <c r="K59">
        <v>7</v>
      </c>
      <c r="L59" s="6">
        <f t="shared" si="0"/>
        <v>45</v>
      </c>
    </row>
    <row r="60" spans="1:12">
      <c r="A60" s="6" t="s">
        <v>17</v>
      </c>
      <c r="B60">
        <v>4</v>
      </c>
      <c r="C60">
        <v>5</v>
      </c>
      <c r="D60">
        <v>5</v>
      </c>
      <c r="E60">
        <v>4</v>
      </c>
      <c r="F60">
        <v>5</v>
      </c>
      <c r="G60">
        <v>4</v>
      </c>
      <c r="H60">
        <v>3</v>
      </c>
      <c r="I60">
        <v>3</v>
      </c>
      <c r="J60">
        <v>4</v>
      </c>
      <c r="K60">
        <v>6</v>
      </c>
      <c r="L60" s="6">
        <f t="shared" si="0"/>
        <v>43</v>
      </c>
    </row>
    <row r="61" spans="1:12">
      <c r="A61" s="6" t="s">
        <v>18</v>
      </c>
      <c r="B61">
        <v>5</v>
      </c>
      <c r="C61">
        <v>5</v>
      </c>
      <c r="D61">
        <v>4</v>
      </c>
      <c r="E61">
        <v>5</v>
      </c>
      <c r="F61">
        <v>5</v>
      </c>
      <c r="G61">
        <v>4</v>
      </c>
      <c r="H61">
        <v>3</v>
      </c>
      <c r="I61">
        <v>5</v>
      </c>
      <c r="J61">
        <v>4</v>
      </c>
      <c r="K61">
        <v>8</v>
      </c>
      <c r="L61" s="6">
        <f t="shared" si="0"/>
        <v>48</v>
      </c>
    </row>
    <row r="62" spans="1:12">
      <c r="A62" s="5" t="s">
        <v>28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9"/>
    </row>
    <row r="63" spans="1:12">
      <c r="A63" s="6" t="s">
        <v>13</v>
      </c>
      <c r="B63">
        <v>4</v>
      </c>
      <c r="C63">
        <v>5</v>
      </c>
      <c r="D63">
        <v>4</v>
      </c>
      <c r="E63">
        <v>4</v>
      </c>
      <c r="F63">
        <v>4</v>
      </c>
      <c r="G63">
        <v>5</v>
      </c>
      <c r="H63">
        <v>3</v>
      </c>
      <c r="I63">
        <v>4</v>
      </c>
      <c r="J63">
        <v>4</v>
      </c>
      <c r="K63">
        <v>7</v>
      </c>
      <c r="L63" s="6">
        <f t="shared" si="0"/>
        <v>44</v>
      </c>
    </row>
    <row r="64" spans="1:12">
      <c r="A64" s="6" t="s">
        <v>15</v>
      </c>
      <c r="B64">
        <v>4</v>
      </c>
      <c r="C64">
        <v>5</v>
      </c>
      <c r="D64">
        <v>4</v>
      </c>
      <c r="E64">
        <v>3</v>
      </c>
      <c r="F64">
        <v>5</v>
      </c>
      <c r="G64">
        <v>4</v>
      </c>
      <c r="H64">
        <v>3</v>
      </c>
      <c r="I64">
        <v>2</v>
      </c>
      <c r="J64">
        <v>5</v>
      </c>
      <c r="K64">
        <v>6</v>
      </c>
      <c r="L64" s="6">
        <f t="shared" si="0"/>
        <v>41</v>
      </c>
    </row>
    <row r="65" spans="1:12">
      <c r="A65" s="6" t="s">
        <v>16</v>
      </c>
      <c r="B65">
        <v>3</v>
      </c>
      <c r="C65">
        <v>4</v>
      </c>
      <c r="D65">
        <v>3</v>
      </c>
      <c r="E65">
        <v>4</v>
      </c>
      <c r="F65">
        <v>5</v>
      </c>
      <c r="G65">
        <v>4</v>
      </c>
      <c r="H65">
        <v>4</v>
      </c>
      <c r="I65">
        <v>3</v>
      </c>
      <c r="J65">
        <v>4</v>
      </c>
      <c r="K65">
        <v>4</v>
      </c>
      <c r="L65" s="6">
        <f t="shared" si="0"/>
        <v>38</v>
      </c>
    </row>
    <row r="66" spans="1:12">
      <c r="A66" s="6" t="s">
        <v>17</v>
      </c>
      <c r="B66">
        <v>4</v>
      </c>
      <c r="C66">
        <v>4</v>
      </c>
      <c r="D66">
        <v>3</v>
      </c>
      <c r="E66">
        <v>4</v>
      </c>
      <c r="F66">
        <v>4</v>
      </c>
      <c r="G66">
        <v>4</v>
      </c>
      <c r="H66">
        <v>3</v>
      </c>
      <c r="I66">
        <v>3</v>
      </c>
      <c r="J66">
        <v>4</v>
      </c>
      <c r="K66">
        <v>5</v>
      </c>
      <c r="L66" s="6">
        <f t="shared" si="0"/>
        <v>38</v>
      </c>
    </row>
    <row r="67" spans="1:12">
      <c r="A67" s="6" t="s">
        <v>18</v>
      </c>
      <c r="B67">
        <v>4</v>
      </c>
      <c r="C67">
        <v>3</v>
      </c>
      <c r="D67">
        <v>4</v>
      </c>
      <c r="E67">
        <v>3</v>
      </c>
      <c r="F67">
        <v>5</v>
      </c>
      <c r="G67">
        <v>3</v>
      </c>
      <c r="H67">
        <v>4</v>
      </c>
      <c r="I67">
        <v>4</v>
      </c>
      <c r="J67">
        <v>4</v>
      </c>
      <c r="K67">
        <v>5</v>
      </c>
      <c r="L67" s="6">
        <f t="shared" si="0"/>
        <v>39</v>
      </c>
    </row>
    <row r="68" spans="1:12">
      <c r="A68" s="5" t="s">
        <v>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9"/>
    </row>
    <row r="69" spans="1:12">
      <c r="A69" s="6" t="s">
        <v>13</v>
      </c>
      <c r="B69">
        <v>5</v>
      </c>
      <c r="C69">
        <v>4</v>
      </c>
      <c r="D69">
        <v>4</v>
      </c>
      <c r="E69">
        <v>4</v>
      </c>
      <c r="F69">
        <v>4</v>
      </c>
      <c r="G69">
        <v>4</v>
      </c>
      <c r="H69">
        <v>2</v>
      </c>
      <c r="I69">
        <v>4</v>
      </c>
      <c r="J69">
        <v>4</v>
      </c>
      <c r="K69">
        <v>5</v>
      </c>
      <c r="L69" s="6">
        <f t="shared" ref="L69:L72" si="1">SUM(B69:K69)</f>
        <v>40</v>
      </c>
    </row>
    <row r="70" spans="1:12">
      <c r="A70" s="6" t="s">
        <v>15</v>
      </c>
      <c r="B70">
        <v>4</v>
      </c>
      <c r="C70">
        <v>4</v>
      </c>
      <c r="D70">
        <v>4</v>
      </c>
      <c r="E70">
        <v>5</v>
      </c>
      <c r="F70">
        <v>5</v>
      </c>
      <c r="G70">
        <v>3</v>
      </c>
      <c r="H70">
        <v>3</v>
      </c>
      <c r="I70">
        <v>3</v>
      </c>
      <c r="J70">
        <v>5</v>
      </c>
      <c r="K70">
        <v>6</v>
      </c>
      <c r="L70" s="6">
        <f t="shared" si="1"/>
        <v>42</v>
      </c>
    </row>
    <row r="71" spans="1:12">
      <c r="A71" s="6" t="s">
        <v>16</v>
      </c>
      <c r="B71">
        <v>5</v>
      </c>
      <c r="C71">
        <v>5</v>
      </c>
      <c r="D71">
        <v>5</v>
      </c>
      <c r="E71">
        <v>4</v>
      </c>
      <c r="F71">
        <v>4</v>
      </c>
      <c r="G71">
        <v>4</v>
      </c>
      <c r="H71">
        <v>2</v>
      </c>
      <c r="I71">
        <v>3</v>
      </c>
      <c r="J71">
        <v>4</v>
      </c>
      <c r="K71">
        <v>4</v>
      </c>
      <c r="L71" s="6">
        <f t="shared" si="1"/>
        <v>40</v>
      </c>
    </row>
    <row r="72" spans="1:12">
      <c r="A72" s="6" t="s">
        <v>17</v>
      </c>
      <c r="B72">
        <v>4</v>
      </c>
      <c r="C72">
        <v>5</v>
      </c>
      <c r="D72">
        <v>5</v>
      </c>
      <c r="E72">
        <v>5</v>
      </c>
      <c r="F72">
        <v>4</v>
      </c>
      <c r="G72">
        <v>2</v>
      </c>
      <c r="H72">
        <v>2</v>
      </c>
      <c r="I72">
        <v>4</v>
      </c>
      <c r="J72">
        <v>3</v>
      </c>
      <c r="K72">
        <v>7</v>
      </c>
      <c r="L72" s="6">
        <f t="shared" si="1"/>
        <v>41</v>
      </c>
    </row>
    <row r="73" spans="1:12">
      <c r="A73" t="s">
        <v>18</v>
      </c>
      <c r="B73">
        <v>4</v>
      </c>
      <c r="C73">
        <v>5</v>
      </c>
      <c r="D73">
        <v>4</v>
      </c>
      <c r="E73">
        <v>4</v>
      </c>
      <c r="F73">
        <v>5</v>
      </c>
      <c r="G73">
        <v>3</v>
      </c>
      <c r="H73">
        <v>3</v>
      </c>
      <c r="I73">
        <v>4</v>
      </c>
      <c r="J73">
        <v>5</v>
      </c>
      <c r="K73">
        <v>6</v>
      </c>
      <c r="L73" s="6">
        <f>SUM(B73:K73)</f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EE06-8DDE-4357-BCAE-BE89F75B4DFA}">
  <dimension ref="A1:F73"/>
  <sheetViews>
    <sheetView workbookViewId="0">
      <selection activeCell="B76" sqref="B76"/>
    </sheetView>
  </sheetViews>
  <sheetFormatPr defaultRowHeight="15"/>
  <cols>
    <col min="1" max="1" width="82" customWidth="1"/>
    <col min="3" max="3" width="22.7109375" customWidth="1"/>
    <col min="6" max="6" width="16.28515625" customWidth="1"/>
  </cols>
  <sheetData>
    <row r="1" spans="1:6">
      <c r="A1" s="4"/>
      <c r="B1" s="10" t="s">
        <v>10</v>
      </c>
      <c r="F1" s="11"/>
    </row>
    <row r="2" spans="1:6">
      <c r="A2" s="2" t="s">
        <v>11</v>
      </c>
      <c r="B2" s="5"/>
    </row>
    <row r="3" spans="1:6">
      <c r="A3" t="s">
        <v>13</v>
      </c>
      <c r="B3" s="6">
        <f>SUM(MB!L3,SK!L3,JW!L3)</f>
        <v>80</v>
      </c>
    </row>
    <row r="4" spans="1:6">
      <c r="A4" t="s">
        <v>15</v>
      </c>
      <c r="B4" s="6">
        <f>SUM(MB!L4,SK!L4,JW!L4)</f>
        <v>99</v>
      </c>
    </row>
    <row r="5" spans="1:6">
      <c r="A5" t="s">
        <v>16</v>
      </c>
      <c r="B5" s="6">
        <f>SUM(MB!L5,SK!L5,JW!L5)</f>
        <v>102</v>
      </c>
    </row>
    <row r="6" spans="1:6">
      <c r="A6" t="s">
        <v>17</v>
      </c>
      <c r="B6" s="6">
        <f>SUM(MB!L6,SK!L6,JW!L6)</f>
        <v>94</v>
      </c>
    </row>
    <row r="7" spans="1:6">
      <c r="A7" t="s">
        <v>18</v>
      </c>
      <c r="B7" s="6">
        <f>SUM(MB!L7,SK!L7,JW!L7)</f>
        <v>95</v>
      </c>
    </row>
    <row r="8" spans="1:6">
      <c r="A8" s="2" t="s">
        <v>19</v>
      </c>
      <c r="B8" s="9"/>
    </row>
    <row r="9" spans="1:6">
      <c r="A9" t="s">
        <v>13</v>
      </c>
      <c r="B9" s="6">
        <f>SUM(MB!L9,SK!L9,JW!L9)</f>
        <v>91</v>
      </c>
    </row>
    <row r="10" spans="1:6">
      <c r="A10" t="s">
        <v>15</v>
      </c>
      <c r="B10" s="6">
        <f>SUM(MB!L10,SK!L10,JW!L10)</f>
        <v>82</v>
      </c>
    </row>
    <row r="11" spans="1:6">
      <c r="A11" t="s">
        <v>16</v>
      </c>
      <c r="B11" s="6">
        <f>SUM(MB!L11,SK!L11,JW!L11)</f>
        <v>79</v>
      </c>
    </row>
    <row r="12" spans="1:6">
      <c r="A12" t="s">
        <v>17</v>
      </c>
      <c r="B12" s="6">
        <f>SUM(MB!L12,SK!L12,JW!L12)</f>
        <v>86</v>
      </c>
    </row>
    <row r="13" spans="1:6">
      <c r="A13" t="s">
        <v>18</v>
      </c>
      <c r="B13" s="6">
        <f>SUM(MB!L13,SK!L13,JW!L13)</f>
        <v>102</v>
      </c>
    </row>
    <row r="14" spans="1:6">
      <c r="A14" s="2" t="s">
        <v>20</v>
      </c>
      <c r="B14" s="9"/>
    </row>
    <row r="15" spans="1:6">
      <c r="A15" t="s">
        <v>13</v>
      </c>
      <c r="B15" s="6">
        <f>SUM(MB!L15,SK!L15,JW!L15)</f>
        <v>85</v>
      </c>
    </row>
    <row r="16" spans="1:6">
      <c r="A16" t="s">
        <v>15</v>
      </c>
      <c r="B16" s="6">
        <f>SUM(MB!L16,SK!L16,JW!L16)</f>
        <v>103</v>
      </c>
    </row>
    <row r="17" spans="1:2">
      <c r="A17" t="s">
        <v>16</v>
      </c>
      <c r="B17" s="6">
        <f>SUM(MB!L17,SK!L17,JW!L17)</f>
        <v>67</v>
      </c>
    </row>
    <row r="18" spans="1:2">
      <c r="A18" t="s">
        <v>17</v>
      </c>
      <c r="B18" s="6">
        <f>SUM(MB!L18,SK!L18,JW!L18)</f>
        <v>77</v>
      </c>
    </row>
    <row r="19" spans="1:2">
      <c r="A19" t="s">
        <v>18</v>
      </c>
      <c r="B19" s="6">
        <f>SUM(MB!L19,SK!L19,JW!L19)</f>
        <v>82</v>
      </c>
    </row>
    <row r="20" spans="1:2">
      <c r="A20" s="2" t="s">
        <v>21</v>
      </c>
      <c r="B20" s="9"/>
    </row>
    <row r="21" spans="1:2">
      <c r="A21" t="s">
        <v>13</v>
      </c>
      <c r="B21" s="6">
        <f>SUM(MB!L21,SK!L21,JW!L21)</f>
        <v>64</v>
      </c>
    </row>
    <row r="22" spans="1:2">
      <c r="A22" t="s">
        <v>15</v>
      </c>
      <c r="B22" s="6">
        <f>SUM(MB!L22,SK!L22,JW!L22)</f>
        <v>63</v>
      </c>
    </row>
    <row r="23" spans="1:2">
      <c r="A23" t="s">
        <v>16</v>
      </c>
      <c r="B23" s="6">
        <f>SUM(MB!L23,SK!L23,JW!L23)</f>
        <v>82</v>
      </c>
    </row>
    <row r="24" spans="1:2">
      <c r="A24" t="s">
        <v>17</v>
      </c>
      <c r="B24" s="6">
        <f>SUM(MB!L24,SK!L24,JW!L24)</f>
        <v>88</v>
      </c>
    </row>
    <row r="25" spans="1:2">
      <c r="A25" t="s">
        <v>18</v>
      </c>
      <c r="B25" s="6">
        <f>SUM(MB!L25,SK!L25,JW!L25)</f>
        <v>94</v>
      </c>
    </row>
    <row r="26" spans="1:2">
      <c r="A26" s="2" t="s">
        <v>22</v>
      </c>
      <c r="B26" s="9"/>
    </row>
    <row r="27" spans="1:2">
      <c r="A27" t="s">
        <v>13</v>
      </c>
      <c r="B27" s="6">
        <f>SUM(MB!L27,SK!L27,JW!L27)</f>
        <v>81</v>
      </c>
    </row>
    <row r="28" spans="1:2">
      <c r="A28" t="s">
        <v>15</v>
      </c>
      <c r="B28" s="6">
        <f>SUM(MB!L28,SK!L28,JW!L28)</f>
        <v>90</v>
      </c>
    </row>
    <row r="29" spans="1:2">
      <c r="A29" t="s">
        <v>16</v>
      </c>
      <c r="B29" s="6">
        <f>SUM(MB!L29,SK!L29,JW!L29)</f>
        <v>70</v>
      </c>
    </row>
    <row r="30" spans="1:2">
      <c r="A30" t="s">
        <v>17</v>
      </c>
      <c r="B30" s="6">
        <f>SUM(MB!L30,SK!L30,JW!L30)</f>
        <v>80</v>
      </c>
    </row>
    <row r="31" spans="1:2">
      <c r="A31" t="s">
        <v>18</v>
      </c>
      <c r="B31" s="6">
        <f>SUM(MB!L31,SK!L31,JW!L31)</f>
        <v>103</v>
      </c>
    </row>
    <row r="32" spans="1:2">
      <c r="A32" s="2" t="s">
        <v>23</v>
      </c>
      <c r="B32" s="9"/>
    </row>
    <row r="33" spans="1:2">
      <c r="A33" t="s">
        <v>13</v>
      </c>
      <c r="B33" s="6">
        <f>SUM(MB!L33,SK!L33,JW!L33)</f>
        <v>79</v>
      </c>
    </row>
    <row r="34" spans="1:2">
      <c r="A34" t="s">
        <v>15</v>
      </c>
      <c r="B34" s="6">
        <f>SUM(MB!L34,SK!L34,JW!L34)</f>
        <v>63</v>
      </c>
    </row>
    <row r="35" spans="1:2">
      <c r="A35" t="s">
        <v>16</v>
      </c>
      <c r="B35" s="6">
        <f>SUM(MB!L35,SK!L35,JW!L35)</f>
        <v>122</v>
      </c>
    </row>
    <row r="36" spans="1:2">
      <c r="A36" t="s">
        <v>17</v>
      </c>
      <c r="B36" s="6">
        <f>SUM(MB!L36,SK!L36,JW!L36)</f>
        <v>75</v>
      </c>
    </row>
    <row r="37" spans="1:2">
      <c r="A37" t="s">
        <v>18</v>
      </c>
      <c r="B37" s="6">
        <f>SUM(MB!L37,SK!L37,JW!L37)</f>
        <v>95</v>
      </c>
    </row>
    <row r="38" spans="1:2">
      <c r="A38" s="2" t="s">
        <v>24</v>
      </c>
      <c r="B38" s="9"/>
    </row>
    <row r="39" spans="1:2">
      <c r="A39" t="s">
        <v>13</v>
      </c>
      <c r="B39" s="6">
        <f>SUM(MB!L39,SK!L39,JW!L39)</f>
        <v>129</v>
      </c>
    </row>
    <row r="40" spans="1:2">
      <c r="A40" t="s">
        <v>15</v>
      </c>
      <c r="B40" s="6">
        <f>SUM(MB!L40,SK!L40,JW!L40)</f>
        <v>129</v>
      </c>
    </row>
    <row r="41" spans="1:2">
      <c r="A41" t="s">
        <v>16</v>
      </c>
      <c r="B41" s="6">
        <f>SUM(MB!L41,SK!L41,JW!L41)</f>
        <v>121</v>
      </c>
    </row>
    <row r="42" spans="1:2">
      <c r="A42" t="s">
        <v>17</v>
      </c>
      <c r="B42" s="6">
        <f>SUM(MB!L42,SK!L42,JW!L42)</f>
        <v>125</v>
      </c>
    </row>
    <row r="43" spans="1:2">
      <c r="A43" t="s">
        <v>18</v>
      </c>
      <c r="B43" s="6">
        <f>SUM(MB!L43,SK!L43,JW!L43)</f>
        <v>119</v>
      </c>
    </row>
    <row r="44" spans="1:2">
      <c r="A44" s="2" t="s">
        <v>25</v>
      </c>
      <c r="B44" s="9"/>
    </row>
    <row r="45" spans="1:2">
      <c r="A45" t="s">
        <v>13</v>
      </c>
      <c r="B45" s="6">
        <f>SUM(MB!L45,SK!L45,JW!L45)</f>
        <v>121</v>
      </c>
    </row>
    <row r="46" spans="1:2">
      <c r="A46" t="s">
        <v>15</v>
      </c>
      <c r="B46" s="6">
        <f>SUM(MB!L46,SK!L46,JW!L46)</f>
        <v>118</v>
      </c>
    </row>
    <row r="47" spans="1:2">
      <c r="A47" t="s">
        <v>16</v>
      </c>
      <c r="B47" s="6">
        <f>SUM(MB!L47,SK!L47,JW!L47)</f>
        <v>127</v>
      </c>
    </row>
    <row r="48" spans="1:2">
      <c r="A48" t="s">
        <v>17</v>
      </c>
      <c r="B48" s="6">
        <f>SUM(MB!L48,SK!L48,JW!L48)</f>
        <v>119</v>
      </c>
    </row>
    <row r="49" spans="1:2">
      <c r="A49" t="s">
        <v>18</v>
      </c>
      <c r="B49" s="6">
        <f>SUM(MB!L49,SK!L49,JW!L49)</f>
        <v>125</v>
      </c>
    </row>
    <row r="50" spans="1:2">
      <c r="A50" s="2" t="s">
        <v>26</v>
      </c>
      <c r="B50" s="9"/>
    </row>
    <row r="51" spans="1:2">
      <c r="A51" t="s">
        <v>13</v>
      </c>
      <c r="B51" s="6">
        <f>SUM(MB!L51,SK!L51,JW!L51)</f>
        <v>91</v>
      </c>
    </row>
    <row r="52" spans="1:2">
      <c r="A52" t="s">
        <v>15</v>
      </c>
      <c r="B52" s="6">
        <f>SUM(MB!L52,SK!L52,JW!L52)</f>
        <v>117</v>
      </c>
    </row>
    <row r="53" spans="1:2">
      <c r="A53" t="s">
        <v>16</v>
      </c>
      <c r="B53" s="6">
        <f>SUM(MB!L53,SK!L53,JW!L53)</f>
        <v>117</v>
      </c>
    </row>
    <row r="54" spans="1:2">
      <c r="A54" t="s">
        <v>17</v>
      </c>
      <c r="B54" s="6">
        <f>SUM(MB!L54,SK!L54,JW!L54)</f>
        <v>117</v>
      </c>
    </row>
    <row r="55" spans="1:2">
      <c r="A55" t="s">
        <v>18</v>
      </c>
      <c r="B55" s="6">
        <f>SUM(MB!L55,SK!L55,JW!L55)</f>
        <v>133</v>
      </c>
    </row>
    <row r="56" spans="1:2">
      <c r="A56" s="2" t="s">
        <v>27</v>
      </c>
      <c r="B56" s="9"/>
    </row>
    <row r="57" spans="1:2">
      <c r="A57" t="s">
        <v>13</v>
      </c>
      <c r="B57" s="6">
        <f>SUM(MB!L57,SK!L57,JW!L57)</f>
        <v>128</v>
      </c>
    </row>
    <row r="58" spans="1:2">
      <c r="A58" t="s">
        <v>15</v>
      </c>
      <c r="B58" s="6">
        <f>SUM(MB!L58,SK!L58,JW!L58)</f>
        <v>118</v>
      </c>
    </row>
    <row r="59" spans="1:2">
      <c r="A59" t="s">
        <v>16</v>
      </c>
      <c r="B59" s="6">
        <f>SUM(MB!L59,SK!L59,JW!L59)</f>
        <v>122</v>
      </c>
    </row>
    <row r="60" spans="1:2">
      <c r="A60" t="s">
        <v>17</v>
      </c>
      <c r="B60" s="6">
        <f>SUM(MB!L60,SK!L60,JW!L60)</f>
        <v>124</v>
      </c>
    </row>
    <row r="61" spans="1:2">
      <c r="A61" t="s">
        <v>18</v>
      </c>
      <c r="B61" s="6">
        <f>SUM(MB!L61,SK!L61,JW!L61)</f>
        <v>128</v>
      </c>
    </row>
    <row r="62" spans="1:2">
      <c r="A62" s="2" t="s">
        <v>28</v>
      </c>
      <c r="B62" s="9"/>
    </row>
    <row r="63" spans="1:2">
      <c r="A63" t="s">
        <v>13</v>
      </c>
      <c r="B63" s="6">
        <f>SUM(MB!L63,SK!L63,JW!L63)</f>
        <v>118</v>
      </c>
    </row>
    <row r="64" spans="1:2">
      <c r="A64" t="s">
        <v>15</v>
      </c>
      <c r="B64" s="6">
        <f>SUM(MB!L64,SK!L64,JW!L64)</f>
        <v>107</v>
      </c>
    </row>
    <row r="65" spans="1:2">
      <c r="A65" t="s">
        <v>16</v>
      </c>
      <c r="B65" s="6">
        <f>SUM(MB!L65,SK!L65,JW!L65)</f>
        <v>101</v>
      </c>
    </row>
    <row r="66" spans="1:2">
      <c r="A66" t="s">
        <v>17</v>
      </c>
      <c r="B66" s="6">
        <f>SUM(MB!L66,SK!L66,JW!L66)</f>
        <v>114</v>
      </c>
    </row>
    <row r="67" spans="1:2">
      <c r="A67" t="s">
        <v>18</v>
      </c>
      <c r="B67" s="6">
        <f>SUM(MB!L67,SK!L67,JW!L67)</f>
        <v>109</v>
      </c>
    </row>
    <row r="68" spans="1:2">
      <c r="A68" s="2" t="s">
        <v>29</v>
      </c>
      <c r="B68" s="9"/>
    </row>
    <row r="69" spans="1:2">
      <c r="A69" t="s">
        <v>13</v>
      </c>
      <c r="B69" s="6">
        <f>SUM(MB!L69,SK!L69,JW!L69)</f>
        <v>116</v>
      </c>
    </row>
    <row r="70" spans="1:2">
      <c r="A70" t="s">
        <v>15</v>
      </c>
      <c r="B70" s="6">
        <f>SUM(MB!L70,SK!L70,JW!L70)</f>
        <v>119</v>
      </c>
    </row>
    <row r="71" spans="1:2">
      <c r="A71" t="s">
        <v>16</v>
      </c>
      <c r="B71" s="6">
        <f>SUM(MB!L71,SK!L71,JW!L71)</f>
        <v>107</v>
      </c>
    </row>
    <row r="72" spans="1:2">
      <c r="A72" t="s">
        <v>17</v>
      </c>
      <c r="B72" s="6">
        <f>SUM(MB!L72,SK!L72,JW!L72)</f>
        <v>113</v>
      </c>
    </row>
    <row r="73" spans="1:2">
      <c r="A73" t="s">
        <v>18</v>
      </c>
      <c r="B73" s="6">
        <f>SUM(MB!L73,SK!L73,JW!L73)</f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8410-1457-468C-A43D-8EDEE490875E}">
  <dimension ref="A1:G73"/>
  <sheetViews>
    <sheetView tabSelected="1" topLeftCell="A26" workbookViewId="0">
      <selection activeCell="D39" sqref="D39"/>
    </sheetView>
  </sheetViews>
  <sheetFormatPr defaultRowHeight="15"/>
  <cols>
    <col min="1" max="1" width="76.42578125" customWidth="1"/>
    <col min="2" max="2" width="18.42578125" customWidth="1"/>
    <col min="3" max="3" width="16.28515625" customWidth="1"/>
    <col min="7" max="7" width="23.5703125" customWidth="1"/>
  </cols>
  <sheetData>
    <row r="1" spans="1:7">
      <c r="A1" s="4"/>
      <c r="B1" s="8" t="s">
        <v>30</v>
      </c>
      <c r="C1" s="8" t="s">
        <v>31</v>
      </c>
      <c r="D1" s="10" t="s">
        <v>10</v>
      </c>
    </row>
    <row r="2" spans="1:7">
      <c r="A2" s="2" t="s">
        <v>11</v>
      </c>
      <c r="B2" s="3"/>
      <c r="C2" s="3"/>
      <c r="D2" s="9"/>
      <c r="G2" s="1" t="s">
        <v>32</v>
      </c>
    </row>
    <row r="3" spans="1:7">
      <c r="A3" t="s">
        <v>13</v>
      </c>
      <c r="B3">
        <f>ROUND((SUMA!B3 - 10) * 75/155,0)</f>
        <v>34</v>
      </c>
      <c r="C3">
        <f>ROUND(9 * 25/12, 0)</f>
        <v>19</v>
      </c>
      <c r="D3" s="6">
        <f>SUM(B3,C3)</f>
        <v>53</v>
      </c>
      <c r="G3" s="1" t="s">
        <v>33</v>
      </c>
    </row>
    <row r="4" spans="1:7">
      <c r="A4" t="s">
        <v>15</v>
      </c>
      <c r="B4">
        <f>ROUND((SUMA!B4 - 10) * 75/155,0)</f>
        <v>43</v>
      </c>
      <c r="C4">
        <f>ROUND(9 * 25/12, 0)</f>
        <v>19</v>
      </c>
      <c r="D4" s="6">
        <f t="shared" ref="D4:D66" si="0">SUM(B4,C4)</f>
        <v>62</v>
      </c>
    </row>
    <row r="5" spans="1:7">
      <c r="A5" t="s">
        <v>16</v>
      </c>
      <c r="B5">
        <f>ROUND((SUMA!B5 - 10) * 75/155,0)</f>
        <v>45</v>
      </c>
      <c r="C5">
        <f>ROUND(11 * 25/12, 0)</f>
        <v>23</v>
      </c>
      <c r="D5" s="12">
        <f t="shared" si="0"/>
        <v>68</v>
      </c>
    </row>
    <row r="6" spans="1:7">
      <c r="A6" t="s">
        <v>17</v>
      </c>
      <c r="B6">
        <f>ROUND((SUMA!B6 - 10) * 75/155,0)</f>
        <v>41</v>
      </c>
      <c r="C6">
        <f>ROUND(11 * 25/12, 0)</f>
        <v>23</v>
      </c>
      <c r="D6" s="6">
        <f t="shared" si="0"/>
        <v>64</v>
      </c>
    </row>
    <row r="7" spans="1:7">
      <c r="A7" t="s">
        <v>18</v>
      </c>
      <c r="B7">
        <f>ROUND((SUMA!B7 - 10) * 75/155,0)</f>
        <v>41</v>
      </c>
      <c r="C7">
        <f>ROUND(11 * 25/12, 0)</f>
        <v>23</v>
      </c>
      <c r="D7" s="6">
        <f t="shared" si="0"/>
        <v>64</v>
      </c>
    </row>
    <row r="8" spans="1:7">
      <c r="A8" s="2" t="s">
        <v>19</v>
      </c>
      <c r="B8" s="3"/>
      <c r="C8" s="3"/>
      <c r="D8" s="9"/>
    </row>
    <row r="9" spans="1:7">
      <c r="A9" t="s">
        <v>13</v>
      </c>
      <c r="B9">
        <f>ROUND((SUMA!B9 - 10) * 75/155,0)</f>
        <v>39</v>
      </c>
      <c r="C9">
        <f>ROUND(9 * 25/12, 0)</f>
        <v>19</v>
      </c>
      <c r="D9" s="6">
        <f t="shared" si="0"/>
        <v>58</v>
      </c>
    </row>
    <row r="10" spans="1:7">
      <c r="A10" t="s">
        <v>15</v>
      </c>
      <c r="B10">
        <f>ROUND((SUMA!B10 - 10) * 75/155,0)</f>
        <v>35</v>
      </c>
      <c r="C10">
        <f>ROUND(8 * 25/12, 0)</f>
        <v>17</v>
      </c>
      <c r="D10" s="6">
        <f t="shared" si="0"/>
        <v>52</v>
      </c>
    </row>
    <row r="11" spans="1:7">
      <c r="A11" t="s">
        <v>16</v>
      </c>
      <c r="B11">
        <f>ROUND((SUMA!B11 - 10) * 75/155,0)</f>
        <v>33</v>
      </c>
      <c r="C11">
        <f>ROUND(8 * 25/12, 0)</f>
        <v>17</v>
      </c>
      <c r="D11" s="6">
        <f t="shared" si="0"/>
        <v>50</v>
      </c>
    </row>
    <row r="12" spans="1:7">
      <c r="A12" t="s">
        <v>17</v>
      </c>
      <c r="B12">
        <f>ROUND((SUMA!B12 - 10) * 75/155,0)</f>
        <v>37</v>
      </c>
      <c r="C12">
        <f>ROUND(9 * 25/12, 0)</f>
        <v>19</v>
      </c>
      <c r="D12" s="6">
        <f t="shared" si="0"/>
        <v>56</v>
      </c>
    </row>
    <row r="13" spans="1:7">
      <c r="A13" t="s">
        <v>18</v>
      </c>
      <c r="B13">
        <f>ROUND((SUMA!B13 - 10) * 75/155,0)</f>
        <v>45</v>
      </c>
      <c r="C13">
        <f>ROUND(9 * 25/12, 0)</f>
        <v>19</v>
      </c>
      <c r="D13" s="12">
        <f t="shared" si="0"/>
        <v>64</v>
      </c>
    </row>
    <row r="14" spans="1:7">
      <c r="A14" s="2" t="s">
        <v>20</v>
      </c>
      <c r="B14" s="3"/>
      <c r="C14" s="3"/>
      <c r="D14" s="9"/>
    </row>
    <row r="15" spans="1:7">
      <c r="A15" t="s">
        <v>13</v>
      </c>
      <c r="B15">
        <f>ROUND((SUMA!B15 - 10) * 75/155,0)</f>
        <v>36</v>
      </c>
      <c r="C15">
        <f>ROUND(10 * 25/12, 0)</f>
        <v>21</v>
      </c>
      <c r="D15" s="6">
        <f t="shared" si="0"/>
        <v>57</v>
      </c>
    </row>
    <row r="16" spans="1:7">
      <c r="A16" t="s">
        <v>15</v>
      </c>
      <c r="B16">
        <f>ROUND((SUMA!B16 - 10) * 75/155,0)</f>
        <v>45</v>
      </c>
      <c r="C16">
        <f>ROUND(9 * 25/12, 0)</f>
        <v>19</v>
      </c>
      <c r="D16" s="12">
        <f t="shared" si="0"/>
        <v>64</v>
      </c>
    </row>
    <row r="17" spans="1:4">
      <c r="A17" t="s">
        <v>16</v>
      </c>
      <c r="B17">
        <f>ROUND((SUMA!B17 - 10) * 75/155,0)</f>
        <v>28</v>
      </c>
      <c r="C17">
        <f>ROUND(11 * 25/12, 0)</f>
        <v>23</v>
      </c>
      <c r="D17" s="6">
        <f t="shared" si="0"/>
        <v>51</v>
      </c>
    </row>
    <row r="18" spans="1:4">
      <c r="A18" t="s">
        <v>17</v>
      </c>
      <c r="B18">
        <f>ROUND((SUMA!B18 - 10) * 75/155,0)</f>
        <v>32</v>
      </c>
      <c r="C18">
        <f>ROUND(9 * 25/12, 0)</f>
        <v>19</v>
      </c>
      <c r="D18" s="6">
        <f t="shared" si="0"/>
        <v>51</v>
      </c>
    </row>
    <row r="19" spans="1:4">
      <c r="A19" t="s">
        <v>18</v>
      </c>
      <c r="B19">
        <f>ROUND((SUMA!B19 - 10) * 75/155,0)</f>
        <v>35</v>
      </c>
      <c r="C19">
        <f>ROUND(8 * 25/12, 0)</f>
        <v>17</v>
      </c>
      <c r="D19" s="6">
        <f t="shared" si="0"/>
        <v>52</v>
      </c>
    </row>
    <row r="20" spans="1:4">
      <c r="A20" s="2" t="s">
        <v>21</v>
      </c>
      <c r="B20" s="3"/>
      <c r="C20" s="3"/>
      <c r="D20" s="9"/>
    </row>
    <row r="21" spans="1:4">
      <c r="A21" t="s">
        <v>13</v>
      </c>
      <c r="B21">
        <f>ROUND((SUMA!B21 - 10) * 75/155,0)</f>
        <v>26</v>
      </c>
      <c r="C21">
        <f>ROUND(12 * 25/12, 0)</f>
        <v>25</v>
      </c>
      <c r="D21" s="6">
        <f t="shared" si="0"/>
        <v>51</v>
      </c>
    </row>
    <row r="22" spans="1:4">
      <c r="A22" t="s">
        <v>15</v>
      </c>
      <c r="B22">
        <f>ROUND((SUMA!B22 - 10) * 75/155,0)</f>
        <v>26</v>
      </c>
      <c r="C22">
        <f>ROUND(10 * 25/12, 0)</f>
        <v>21</v>
      </c>
      <c r="D22" s="6">
        <f t="shared" si="0"/>
        <v>47</v>
      </c>
    </row>
    <row r="23" spans="1:4">
      <c r="A23" t="s">
        <v>16</v>
      </c>
      <c r="B23">
        <f>ROUND((SUMA!B23 - 10) * 75/155,0)</f>
        <v>35</v>
      </c>
      <c r="C23">
        <f>ROUND(11 * 25/12, 0)</f>
        <v>23</v>
      </c>
      <c r="D23" s="6">
        <f t="shared" si="0"/>
        <v>58</v>
      </c>
    </row>
    <row r="24" spans="1:4">
      <c r="A24" t="s">
        <v>17</v>
      </c>
      <c r="B24">
        <f>ROUND((SUMA!B24 - 10) * 75/155,0)</f>
        <v>38</v>
      </c>
      <c r="C24">
        <f>ROUND(11 * 25/12, 0)</f>
        <v>23</v>
      </c>
      <c r="D24" s="6">
        <f t="shared" si="0"/>
        <v>61</v>
      </c>
    </row>
    <row r="25" spans="1:4">
      <c r="A25" t="s">
        <v>18</v>
      </c>
      <c r="B25">
        <f>ROUND((SUMA!B25 - 10) * 75/155,0)</f>
        <v>41</v>
      </c>
      <c r="C25">
        <f>ROUND(11 * 25/12, 0)</f>
        <v>23</v>
      </c>
      <c r="D25" s="12">
        <f t="shared" si="0"/>
        <v>64</v>
      </c>
    </row>
    <row r="26" spans="1:4">
      <c r="A26" s="2" t="s">
        <v>22</v>
      </c>
      <c r="B26" s="3"/>
      <c r="C26" s="3"/>
      <c r="D26" s="9"/>
    </row>
    <row r="27" spans="1:4">
      <c r="A27" t="s">
        <v>13</v>
      </c>
      <c r="B27">
        <f>ROUND((SUMA!B27 - 10) * 75/155,0)</f>
        <v>34</v>
      </c>
      <c r="C27">
        <f>ROUND(10 * 25/12, 0)</f>
        <v>21</v>
      </c>
      <c r="D27" s="6">
        <f t="shared" si="0"/>
        <v>55</v>
      </c>
    </row>
    <row r="28" spans="1:4">
      <c r="A28" t="s">
        <v>15</v>
      </c>
      <c r="B28">
        <f>ROUND((SUMA!B28 - 10) * 75/155,0)</f>
        <v>39</v>
      </c>
      <c r="C28">
        <f>ROUND(9 * 25/12, 0)</f>
        <v>19</v>
      </c>
      <c r="D28" s="6">
        <f t="shared" si="0"/>
        <v>58</v>
      </c>
    </row>
    <row r="29" spans="1:4">
      <c r="A29" t="s">
        <v>16</v>
      </c>
      <c r="B29">
        <f>ROUND((SUMA!B29 - 10) * 75/155,0)</f>
        <v>29</v>
      </c>
      <c r="C29">
        <f>ROUND(11 * 25/12, 0)</f>
        <v>23</v>
      </c>
      <c r="D29" s="6">
        <f t="shared" si="0"/>
        <v>52</v>
      </c>
    </row>
    <row r="30" spans="1:4">
      <c r="A30" t="s">
        <v>17</v>
      </c>
      <c r="B30">
        <f>ROUND((SUMA!B30 - 10) * 75/155,0)</f>
        <v>34</v>
      </c>
      <c r="C30">
        <f>ROUND(9 * 25/12, 0)</f>
        <v>19</v>
      </c>
      <c r="D30" s="6">
        <f t="shared" si="0"/>
        <v>53</v>
      </c>
    </row>
    <row r="31" spans="1:4">
      <c r="A31" t="s">
        <v>18</v>
      </c>
      <c r="B31">
        <f>ROUND((SUMA!B31 - 10) * 75/155,0)</f>
        <v>45</v>
      </c>
      <c r="C31">
        <f>ROUND(11 * 25/12, 0)</f>
        <v>23</v>
      </c>
      <c r="D31" s="12">
        <f t="shared" si="0"/>
        <v>68</v>
      </c>
    </row>
    <row r="32" spans="1:4">
      <c r="A32" s="2" t="s">
        <v>23</v>
      </c>
      <c r="B32" s="3"/>
      <c r="C32" s="3"/>
      <c r="D32" s="9"/>
    </row>
    <row r="33" spans="1:4">
      <c r="A33" t="s">
        <v>13</v>
      </c>
      <c r="B33">
        <f>ROUND((SUMA!B33 - 10) * 75/155,0)</f>
        <v>33</v>
      </c>
      <c r="C33">
        <f>ROUND(11 * 25/12, 0)</f>
        <v>23</v>
      </c>
      <c r="D33" s="6">
        <f t="shared" si="0"/>
        <v>56</v>
      </c>
    </row>
    <row r="34" spans="1:4">
      <c r="A34" t="s">
        <v>15</v>
      </c>
      <c r="B34">
        <f>ROUND((SUMA!B34 - 10) * 75/155,0)</f>
        <v>26</v>
      </c>
      <c r="C34">
        <f>ROUND(9 * 25/12, 0)</f>
        <v>19</v>
      </c>
      <c r="D34" s="6">
        <f t="shared" si="0"/>
        <v>45</v>
      </c>
    </row>
    <row r="35" spans="1:4">
      <c r="A35" t="s">
        <v>16</v>
      </c>
      <c r="B35">
        <f>ROUND((SUMA!B35 - 10) * 75/155,0)</f>
        <v>54</v>
      </c>
      <c r="C35">
        <f>ROUND(11 * 25/12, 0)</f>
        <v>23</v>
      </c>
      <c r="D35" s="12">
        <f t="shared" si="0"/>
        <v>77</v>
      </c>
    </row>
    <row r="36" spans="1:4">
      <c r="A36" t="s">
        <v>17</v>
      </c>
      <c r="B36">
        <f>ROUND((SUMA!B36 - 10) * 75/155,0)</f>
        <v>31</v>
      </c>
      <c r="C36">
        <f>ROUND(11 * 25/12, 0)</f>
        <v>23</v>
      </c>
      <c r="D36" s="6">
        <f t="shared" si="0"/>
        <v>54</v>
      </c>
    </row>
    <row r="37" spans="1:4">
      <c r="A37" t="s">
        <v>18</v>
      </c>
      <c r="B37">
        <f>ROUND((SUMA!B37 - 10) * 75/155,0)</f>
        <v>41</v>
      </c>
      <c r="C37">
        <f>ROUND(8 * 25/12, 0)</f>
        <v>17</v>
      </c>
      <c r="D37" s="6">
        <f t="shared" si="0"/>
        <v>58</v>
      </c>
    </row>
    <row r="38" spans="1:4">
      <c r="A38" s="2" t="s">
        <v>24</v>
      </c>
      <c r="B38" s="3"/>
      <c r="C38" s="3"/>
      <c r="D38" s="9"/>
    </row>
    <row r="39" spans="1:4">
      <c r="A39" t="s">
        <v>13</v>
      </c>
      <c r="B39">
        <f>ROUND((SUMA!B39 - 10) * 75/155,0)</f>
        <v>58</v>
      </c>
      <c r="C39">
        <f>ROUND(12 * 25/12, 0)</f>
        <v>25</v>
      </c>
      <c r="D39" s="12">
        <f t="shared" si="0"/>
        <v>83</v>
      </c>
    </row>
    <row r="40" spans="1:4">
      <c r="A40" t="s">
        <v>15</v>
      </c>
      <c r="B40">
        <f>ROUND((SUMA!B40 - 10) * 75/155,0)</f>
        <v>58</v>
      </c>
      <c r="C40">
        <f>ROUND(11 * 25/12, 0)</f>
        <v>23</v>
      </c>
      <c r="D40" s="6">
        <f t="shared" si="0"/>
        <v>81</v>
      </c>
    </row>
    <row r="41" spans="1:4">
      <c r="A41" t="s">
        <v>16</v>
      </c>
      <c r="B41">
        <f>ROUND((SUMA!B41 - 10) * 75/155,0)</f>
        <v>54</v>
      </c>
      <c r="C41">
        <f>ROUND(12 * 25/12, 0)</f>
        <v>25</v>
      </c>
      <c r="D41" s="6">
        <f t="shared" si="0"/>
        <v>79</v>
      </c>
    </row>
    <row r="42" spans="1:4">
      <c r="A42" t="s">
        <v>17</v>
      </c>
      <c r="B42">
        <f>ROUND((SUMA!B42 - 10) * 75/155,0)</f>
        <v>56</v>
      </c>
      <c r="C42">
        <f>ROUND(10 * 25/12, 0)</f>
        <v>21</v>
      </c>
      <c r="D42" s="6">
        <f t="shared" si="0"/>
        <v>77</v>
      </c>
    </row>
    <row r="43" spans="1:4">
      <c r="A43" t="s">
        <v>18</v>
      </c>
      <c r="B43">
        <f>ROUND((SUMA!B43 - 10) * 75/155,0)</f>
        <v>53</v>
      </c>
      <c r="C43">
        <f>ROUND(12 * 25/12, 0)</f>
        <v>25</v>
      </c>
      <c r="D43" s="6">
        <f t="shared" si="0"/>
        <v>78</v>
      </c>
    </row>
    <row r="44" spans="1:4">
      <c r="A44" s="2" t="s">
        <v>25</v>
      </c>
      <c r="B44" s="3"/>
      <c r="C44" s="3"/>
      <c r="D44" s="9"/>
    </row>
    <row r="45" spans="1:4">
      <c r="A45" t="s">
        <v>13</v>
      </c>
      <c r="B45">
        <f>ROUND((SUMA!B45 - 10) * 75/155,0)</f>
        <v>54</v>
      </c>
      <c r="C45">
        <f>ROUND(10 * 25/12, 0)</f>
        <v>21</v>
      </c>
      <c r="D45" s="6">
        <f t="shared" si="0"/>
        <v>75</v>
      </c>
    </row>
    <row r="46" spans="1:4">
      <c r="A46" t="s">
        <v>15</v>
      </c>
      <c r="B46">
        <f>ROUND((SUMA!B46 - 10) * 75/155,0)</f>
        <v>52</v>
      </c>
      <c r="C46">
        <f>ROUND(11 * 25/12, 0)</f>
        <v>23</v>
      </c>
      <c r="D46" s="6">
        <f t="shared" si="0"/>
        <v>75</v>
      </c>
    </row>
    <row r="47" spans="1:4">
      <c r="A47" t="s">
        <v>16</v>
      </c>
      <c r="B47">
        <f>ROUND((SUMA!B47 - 10) * 75/155,0)</f>
        <v>57</v>
      </c>
      <c r="C47">
        <f>ROUND(10 * 25/12, 0)</f>
        <v>21</v>
      </c>
      <c r="D47" s="12">
        <f t="shared" si="0"/>
        <v>78</v>
      </c>
    </row>
    <row r="48" spans="1:4">
      <c r="A48" t="s">
        <v>17</v>
      </c>
      <c r="B48">
        <f>ROUND((SUMA!B48 - 10) * 75/155,0)</f>
        <v>53</v>
      </c>
      <c r="C48">
        <f>ROUND(10 * 25/12, 0)</f>
        <v>21</v>
      </c>
      <c r="D48" s="6">
        <f t="shared" si="0"/>
        <v>74</v>
      </c>
    </row>
    <row r="49" spans="1:4">
      <c r="A49" t="s">
        <v>18</v>
      </c>
      <c r="B49">
        <f>ROUND((SUMA!B49 - 10) * 75/155,0)</f>
        <v>56</v>
      </c>
      <c r="C49">
        <f>ROUND(10 * 25/12, 0)</f>
        <v>21</v>
      </c>
      <c r="D49" s="6">
        <f t="shared" si="0"/>
        <v>77</v>
      </c>
    </row>
    <row r="50" spans="1:4">
      <c r="A50" s="2" t="s">
        <v>26</v>
      </c>
      <c r="B50" s="3"/>
      <c r="C50" s="3"/>
      <c r="D50" s="9"/>
    </row>
    <row r="51" spans="1:4">
      <c r="A51" t="s">
        <v>13</v>
      </c>
      <c r="B51">
        <f>ROUND((SUMA!B51 - 10) * 75/155,0)</f>
        <v>39</v>
      </c>
      <c r="C51">
        <f>ROUND(9 * 25/12, 0)</f>
        <v>19</v>
      </c>
      <c r="D51" s="6">
        <f t="shared" si="0"/>
        <v>58</v>
      </c>
    </row>
    <row r="52" spans="1:4">
      <c r="A52" t="s">
        <v>15</v>
      </c>
      <c r="B52">
        <f>ROUND((SUMA!B52 - 10) * 75/155,0)</f>
        <v>52</v>
      </c>
      <c r="C52">
        <f>ROUND(10 * 25/12, 0)</f>
        <v>21</v>
      </c>
      <c r="D52" s="6">
        <f t="shared" si="0"/>
        <v>73</v>
      </c>
    </row>
    <row r="53" spans="1:4">
      <c r="A53" t="s">
        <v>16</v>
      </c>
      <c r="B53">
        <f>ROUND((SUMA!B53 - 10) * 75/155,0)</f>
        <v>52</v>
      </c>
      <c r="C53">
        <f>ROUND(11 * 25/12, 0)</f>
        <v>23</v>
      </c>
      <c r="D53" s="6">
        <f t="shared" si="0"/>
        <v>75</v>
      </c>
    </row>
    <row r="54" spans="1:4">
      <c r="A54" t="s">
        <v>17</v>
      </c>
      <c r="B54">
        <f>ROUND((SUMA!B54 - 10) * 75/155,0)</f>
        <v>52</v>
      </c>
      <c r="C54">
        <f>ROUND(11 * 25/12, 0)</f>
        <v>23</v>
      </c>
      <c r="D54" s="6">
        <f t="shared" si="0"/>
        <v>75</v>
      </c>
    </row>
    <row r="55" spans="1:4">
      <c r="A55" t="s">
        <v>18</v>
      </c>
      <c r="B55">
        <f>ROUND((SUMA!B55 - 10) * 75/155,0)</f>
        <v>60</v>
      </c>
      <c r="C55">
        <f>ROUND(11 * 25/12, 0)</f>
        <v>23</v>
      </c>
      <c r="D55" s="12">
        <f t="shared" si="0"/>
        <v>83</v>
      </c>
    </row>
    <row r="56" spans="1:4">
      <c r="A56" s="2" t="s">
        <v>27</v>
      </c>
      <c r="B56" s="3"/>
      <c r="C56" s="3"/>
      <c r="D56" s="9"/>
    </row>
    <row r="57" spans="1:4">
      <c r="A57" t="s">
        <v>13</v>
      </c>
      <c r="B57">
        <f>ROUND((SUMA!B57 - 10) * 75/155,0)</f>
        <v>57</v>
      </c>
      <c r="C57">
        <f>ROUND(10 * 25/12, 0)</f>
        <v>21</v>
      </c>
      <c r="D57" s="12">
        <f t="shared" si="0"/>
        <v>78</v>
      </c>
    </row>
    <row r="58" spans="1:4">
      <c r="A58" t="s">
        <v>15</v>
      </c>
      <c r="B58">
        <f>ROUND((SUMA!B58 - 10) * 75/155,0)</f>
        <v>52</v>
      </c>
      <c r="C58">
        <f>ROUND(10 * 25/12, 0)</f>
        <v>21</v>
      </c>
      <c r="D58" s="6">
        <f t="shared" si="0"/>
        <v>73</v>
      </c>
    </row>
    <row r="59" spans="1:4">
      <c r="A59" t="s">
        <v>16</v>
      </c>
      <c r="B59">
        <f>ROUND((SUMA!B59 - 10) * 75/155,0)</f>
        <v>54</v>
      </c>
      <c r="C59">
        <f>ROUND(9 * 25/12, 0)</f>
        <v>19</v>
      </c>
      <c r="D59" s="6">
        <f t="shared" si="0"/>
        <v>73</v>
      </c>
    </row>
    <row r="60" spans="1:4">
      <c r="A60" t="s">
        <v>17</v>
      </c>
      <c r="B60">
        <f>ROUND((SUMA!B60 - 10) * 75/155,0)</f>
        <v>55</v>
      </c>
      <c r="C60">
        <f>ROUND(9 * 25/12, 0)</f>
        <v>19</v>
      </c>
      <c r="D60" s="6">
        <f t="shared" si="0"/>
        <v>74</v>
      </c>
    </row>
    <row r="61" spans="1:4">
      <c r="A61" t="s">
        <v>18</v>
      </c>
      <c r="B61">
        <f>ROUND((SUMA!B61 - 10) * 75/155,0)</f>
        <v>57</v>
      </c>
      <c r="C61">
        <f>ROUND(8 * 25/12, 0)</f>
        <v>17</v>
      </c>
      <c r="D61" s="6">
        <f t="shared" si="0"/>
        <v>74</v>
      </c>
    </row>
    <row r="62" spans="1:4">
      <c r="A62" s="2" t="s">
        <v>28</v>
      </c>
      <c r="B62" s="3"/>
      <c r="C62" s="3"/>
      <c r="D62" s="9"/>
    </row>
    <row r="63" spans="1:4">
      <c r="A63" t="s">
        <v>13</v>
      </c>
      <c r="B63">
        <f>ROUND((SUMA!B63 - 10) * 75/155,0)</f>
        <v>52</v>
      </c>
      <c r="C63">
        <f>ROUND(9 * 25/12, 0)</f>
        <v>19</v>
      </c>
      <c r="D63" s="12">
        <f t="shared" si="0"/>
        <v>71</v>
      </c>
    </row>
    <row r="64" spans="1:4">
      <c r="A64" t="s">
        <v>15</v>
      </c>
      <c r="B64">
        <f>ROUND((SUMA!B64 - 10) * 75/155,0)</f>
        <v>47</v>
      </c>
      <c r="C64">
        <f>ROUND(6 * 25/12, 0)</f>
        <v>13</v>
      </c>
      <c r="D64" s="6">
        <f t="shared" si="0"/>
        <v>60</v>
      </c>
    </row>
    <row r="65" spans="1:4">
      <c r="A65" t="s">
        <v>16</v>
      </c>
      <c r="B65">
        <f>ROUND((SUMA!B65 - 10) * 75/155,0)</f>
        <v>44</v>
      </c>
      <c r="C65">
        <f>ROUND(7 * 25/12, 0)</f>
        <v>15</v>
      </c>
      <c r="D65" s="6">
        <f t="shared" si="0"/>
        <v>59</v>
      </c>
    </row>
    <row r="66" spans="1:4">
      <c r="A66" t="s">
        <v>17</v>
      </c>
      <c r="B66">
        <f>ROUND((SUMA!B66 - 10) * 75/155,0)</f>
        <v>50</v>
      </c>
      <c r="C66">
        <f>ROUND(7 * 25/12, 0)</f>
        <v>15</v>
      </c>
      <c r="D66" s="6">
        <f t="shared" si="0"/>
        <v>65</v>
      </c>
    </row>
    <row r="67" spans="1:4">
      <c r="A67" t="s">
        <v>18</v>
      </c>
      <c r="B67">
        <f>ROUND((SUMA!B67 - 10) * 75/155,0)</f>
        <v>48</v>
      </c>
      <c r="C67">
        <f>ROUND(8 * 25/12, 0)</f>
        <v>17</v>
      </c>
      <c r="D67" s="6">
        <f>SUM(B67,C67)</f>
        <v>65</v>
      </c>
    </row>
    <row r="68" spans="1:4">
      <c r="A68" s="2" t="s">
        <v>29</v>
      </c>
      <c r="B68" s="3"/>
      <c r="C68" s="3"/>
      <c r="D68" s="9"/>
    </row>
    <row r="69" spans="1:4">
      <c r="A69" t="s">
        <v>13</v>
      </c>
      <c r="B69">
        <f>ROUND((SUMA!B69 - 10) * 75/155,0)</f>
        <v>51</v>
      </c>
      <c r="C69">
        <f>ROUND(11 * 25/12, 0)</f>
        <v>23</v>
      </c>
      <c r="D69" s="6">
        <f t="shared" ref="D69:D73" si="1">SUM(B69,C69)</f>
        <v>74</v>
      </c>
    </row>
    <row r="70" spans="1:4">
      <c r="A70" t="s">
        <v>15</v>
      </c>
      <c r="B70">
        <f>ROUND((SUMA!B70 - 10) * 75/155,0)</f>
        <v>53</v>
      </c>
      <c r="C70">
        <f>ROUND(11 * 25/12, 0)</f>
        <v>23</v>
      </c>
      <c r="D70" s="6">
        <f t="shared" si="1"/>
        <v>76</v>
      </c>
    </row>
    <row r="71" spans="1:4">
      <c r="A71" t="s">
        <v>16</v>
      </c>
      <c r="B71">
        <f>ROUND((SUMA!B71 - 10) * 75/155,0)</f>
        <v>47</v>
      </c>
      <c r="C71">
        <f>ROUND(11 * 25/12, 0)</f>
        <v>23</v>
      </c>
      <c r="D71" s="6">
        <f t="shared" si="1"/>
        <v>70</v>
      </c>
    </row>
    <row r="72" spans="1:4">
      <c r="A72" t="s">
        <v>17</v>
      </c>
      <c r="B72">
        <f>ROUND((SUMA!B72 - 10) * 75/155,0)</f>
        <v>50</v>
      </c>
      <c r="C72">
        <f>ROUND(10 * 25/12, 0)</f>
        <v>21</v>
      </c>
      <c r="D72" s="6">
        <f t="shared" si="1"/>
        <v>71</v>
      </c>
    </row>
    <row r="73" spans="1:4">
      <c r="A73" t="s">
        <v>18</v>
      </c>
      <c r="B73">
        <f>ROUND((SUMA!B73 - 10) * 75/155,0)</f>
        <v>55</v>
      </c>
      <c r="C73">
        <f>ROUND(12 * 25/12, 0)</f>
        <v>25</v>
      </c>
      <c r="D73" s="12">
        <f t="shared" si="1"/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2025-11-11T07:30:36Z</dcterms:created>
  <dcterms:modified xsi:type="dcterms:W3CDTF">2025-11-18T20:29:50Z</dcterms:modified>
  <cp:category/>
  <cp:contentStatus/>
</cp:coreProperties>
</file>